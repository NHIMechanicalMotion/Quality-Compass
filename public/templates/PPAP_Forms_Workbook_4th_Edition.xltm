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hn\Documents\Antigravity\Quality Compass\"/>
    </mc:Choice>
  </mc:AlternateContent>
  <xr:revisionPtr revIDLastSave="0" documentId="8_{57B0E495-990C-48EC-BF50-5D9D37E73708}" xr6:coauthVersionLast="47" xr6:coauthVersionMax="47" xr10:uidLastSave="{00000000-0000-0000-0000-000000000000}"/>
  <bookViews>
    <workbookView xWindow="-120" yWindow="-120" windowWidth="77040" windowHeight="21120" tabRatio="832" activeTab="16" xr2:uid="{8A7E5C29-D575-4BF6-8A9D-74571D5B61F2}"/>
  </bookViews>
  <sheets>
    <sheet name="Cover" sheetId="1" r:id="rId1"/>
    <sheet name="PPAP Requirements" sheetId="67" r:id="rId2"/>
    <sheet name="Flow" sheetId="66" r:id="rId3"/>
    <sheet name="FMEA" sheetId="48" r:id="rId4"/>
    <sheet name="Control Plan" sheetId="63" r:id="rId5"/>
    <sheet name="GR&amp;R Att (Analytic)" sheetId="69" state="hidden" r:id="rId6"/>
    <sheet name="Graph" sheetId="70" state="hidden" r:id="rId7"/>
    <sheet name="Gr&amp;R Att (Risk)" sheetId="71" r:id="rId8"/>
    <sheet name="GR&amp;R Variable Inst" sheetId="73" r:id="rId9"/>
    <sheet name="Sample GR&amp;R Var." sheetId="74" r:id="rId10"/>
    <sheet name="GR&amp;R Var." sheetId="72" r:id="rId11"/>
    <sheet name="Capability" sheetId="59" r:id="rId12"/>
    <sheet name="THE-1001 PSW" sheetId="79" r:id="rId13"/>
    <sheet name="Dimensional CFG1003" sheetId="75" r:id="rId14"/>
    <sheet name="Material CFG1004" sheetId="76" r:id="rId15"/>
    <sheet name="Performance Test CFG1005" sheetId="77" r:id="rId16"/>
    <sheet name="Capacity Analysis and R@R" sheetId="78" r:id="rId17"/>
    <sheet name="Module1" sheetId="46" state="veryHidden" r:id=""/>
    <sheet name="Module2" sheetId="89" state="veryHidden" r:id=""/>
  </sheets>
  <externalReferences>
    <externalReference r:id="rId18"/>
  </externalReferences>
  <definedNames>
    <definedName name="_xlnm.Print_Area" localSheetId="11">Capability!$A$1:$I$54</definedName>
    <definedName name="_xlnm.Print_Area" localSheetId="0">Cover!$A$1:$C$31</definedName>
    <definedName name="_xlnm.Print_Area" localSheetId="13">'Dimensional CFG1003'!$A$1:$K$53</definedName>
    <definedName name="_xlnm.Print_Area" localSheetId="2">Flow!$A$1:$M$27</definedName>
    <definedName name="_xlnm.Print_Area" localSheetId="5">'GR&amp;R Att (Analytic)'!$A$1:$K$51</definedName>
    <definedName name="_xlnm.Print_Area" localSheetId="8">'GR&amp;R Variable Inst'!$A$1:$M$40</definedName>
    <definedName name="_xlnm.Print_Area" localSheetId="1">'PPAP Requirements'!$A$1:$I$38</definedName>
    <definedName name="_xlnm.Print_Titles" localSheetId="4">'Control Plan'!$6:$9</definedName>
    <definedName name="_xlnm.Print_Titles" localSheetId="13">'Dimensional CFG1003'!$8:$8</definedName>
    <definedName name="_xlnm.Print_Titles" localSheetId="2">Flow!$6:$7</definedName>
    <definedName name="_xlnm.Print_Titles" localSheetId="3">FMEA!$9:$10</definedName>
    <definedName name="_xlnm.Print_Titles" localSheetId="14">'Material CFG1004'!$9:$9</definedName>
    <definedName name="_xlnm.Print_Titles" localSheetId="15">'Performance Test CFG1005'!$9:$9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8" i="72" l="1"/>
  <c r="B37" i="78"/>
  <c r="B44" i="78"/>
  <c r="B45" i="78" s="1"/>
  <c r="P24" i="78"/>
  <c r="P23" i="78"/>
  <c r="P25" i="78"/>
  <c r="B51" i="78"/>
  <c r="B31" i="78"/>
  <c r="C31" i="78"/>
  <c r="D31" i="78"/>
  <c r="D32" i="78" s="1"/>
  <c r="E31" i="78"/>
  <c r="F31" i="78"/>
  <c r="G31" i="78"/>
  <c r="G32" i="78" s="1"/>
  <c r="H31" i="78"/>
  <c r="I31" i="78"/>
  <c r="I32" i="78" s="1"/>
  <c r="J31" i="78"/>
  <c r="B27" i="78"/>
  <c r="B29" i="78"/>
  <c r="B30" i="78" s="1"/>
  <c r="C27" i="78"/>
  <c r="C29" i="78"/>
  <c r="C30" i="78"/>
  <c r="D27" i="78"/>
  <c r="P27" i="78" s="1"/>
  <c r="E27" i="78"/>
  <c r="E29" i="78" s="1"/>
  <c r="E30" i="78" s="1"/>
  <c r="F27" i="78"/>
  <c r="F29" i="78" s="1"/>
  <c r="F30" i="78" s="1"/>
  <c r="G27" i="78"/>
  <c r="G29" i="78" s="1"/>
  <c r="G30" i="78" s="1"/>
  <c r="H27" i="78"/>
  <c r="H29" i="78" s="1"/>
  <c r="H30" i="78" s="1"/>
  <c r="I27" i="78"/>
  <c r="I29" i="78"/>
  <c r="I30" i="78" s="1"/>
  <c r="J27" i="78"/>
  <c r="J29" i="78" s="1"/>
  <c r="J30" i="78" s="1"/>
  <c r="O27" i="78"/>
  <c r="O29" i="78"/>
  <c r="O30" i="78" s="1"/>
  <c r="P13" i="78"/>
  <c r="B19" i="78"/>
  <c r="C19" i="78"/>
  <c r="P19" i="78" s="1"/>
  <c r="D19" i="78"/>
  <c r="E19" i="78"/>
  <c r="F19" i="78"/>
  <c r="G19" i="78"/>
  <c r="H19" i="78"/>
  <c r="I19" i="78"/>
  <c r="J19" i="78"/>
  <c r="K19" i="78"/>
  <c r="L19" i="78"/>
  <c r="M19" i="78"/>
  <c r="N19" i="78"/>
  <c r="O19" i="78"/>
  <c r="B17" i="78"/>
  <c r="P17" i="78" s="1"/>
  <c r="C17" i="78"/>
  <c r="D17" i="78"/>
  <c r="E17" i="78"/>
  <c r="F17" i="78"/>
  <c r="G17" i="78"/>
  <c r="H17" i="78"/>
  <c r="I17" i="78"/>
  <c r="J17" i="78"/>
  <c r="K17" i="78"/>
  <c r="L17" i="78"/>
  <c r="M17" i="78"/>
  <c r="N17" i="78"/>
  <c r="O17" i="78"/>
  <c r="B35" i="78"/>
  <c r="F9" i="78"/>
  <c r="J32" i="78"/>
  <c r="H32" i="78"/>
  <c r="F32" i="78"/>
  <c r="E32" i="78"/>
  <c r="C32" i="78"/>
  <c r="B32" i="78"/>
  <c r="B28" i="78"/>
  <c r="P28" i="78" s="1"/>
  <c r="C28" i="78"/>
  <c r="D28" i="78"/>
  <c r="E28" i="78"/>
  <c r="F28" i="78"/>
  <c r="G28" i="78"/>
  <c r="H28" i="78"/>
  <c r="I28" i="78"/>
  <c r="J28" i="78"/>
  <c r="K28" i="78"/>
  <c r="L28" i="78"/>
  <c r="M28" i="78"/>
  <c r="N28" i="78"/>
  <c r="O28" i="78"/>
  <c r="O25" i="78"/>
  <c r="N25" i="78"/>
  <c r="M25" i="78"/>
  <c r="L25" i="78"/>
  <c r="K25" i="78"/>
  <c r="J25" i="78"/>
  <c r="I25" i="78"/>
  <c r="H25" i="78"/>
  <c r="G25" i="78"/>
  <c r="F25" i="78"/>
  <c r="E25" i="78"/>
  <c r="D25" i="78"/>
  <c r="C25" i="78"/>
  <c r="B25" i="78"/>
  <c r="P21" i="78"/>
  <c r="O21" i="78"/>
  <c r="N21" i="78"/>
  <c r="M21" i="78"/>
  <c r="L21" i="78"/>
  <c r="K21" i="78"/>
  <c r="J21" i="78"/>
  <c r="I21" i="78"/>
  <c r="H21" i="78"/>
  <c r="G21" i="78"/>
  <c r="F21" i="78"/>
  <c r="E21" i="78"/>
  <c r="D21" i="78"/>
  <c r="C21" i="78"/>
  <c r="B21" i="78"/>
  <c r="P14" i="78"/>
  <c r="P20" i="78" s="1"/>
  <c r="F10" i="78"/>
  <c r="O20" i="78"/>
  <c r="N20" i="78"/>
  <c r="M20" i="78"/>
  <c r="L20" i="78"/>
  <c r="K20" i="78"/>
  <c r="J20" i="78"/>
  <c r="I20" i="78"/>
  <c r="H20" i="78"/>
  <c r="G20" i="78"/>
  <c r="F20" i="78"/>
  <c r="E20" i="78"/>
  <c r="D20" i="78"/>
  <c r="C20" i="78"/>
  <c r="B20" i="78"/>
  <c r="B18" i="78"/>
  <c r="P18" i="78" s="1"/>
  <c r="C18" i="78"/>
  <c r="D18" i="78"/>
  <c r="E18" i="78"/>
  <c r="F18" i="78"/>
  <c r="G18" i="78"/>
  <c r="H18" i="78"/>
  <c r="I18" i="78"/>
  <c r="J18" i="78"/>
  <c r="K18" i="78"/>
  <c r="L18" i="78"/>
  <c r="M18" i="78"/>
  <c r="N18" i="78"/>
  <c r="O18" i="78"/>
  <c r="D4" i="67"/>
  <c r="AH23" i="48"/>
  <c r="W23" i="48"/>
  <c r="AH22" i="48"/>
  <c r="W22" i="48"/>
  <c r="AH21" i="48"/>
  <c r="W21" i="48"/>
  <c r="AH20" i="48"/>
  <c r="W20" i="48"/>
  <c r="AH19" i="48"/>
  <c r="W19" i="48"/>
  <c r="AH18" i="48"/>
  <c r="W18" i="48"/>
  <c r="AH17" i="48"/>
  <c r="W17" i="48"/>
  <c r="U11" i="72"/>
  <c r="N35" i="72"/>
  <c r="A27" i="72"/>
  <c r="A28" i="72" s="1"/>
  <c r="A29" i="72" s="1"/>
  <c r="A32" i="72" s="1"/>
  <c r="A33" i="72" s="1"/>
  <c r="A34" i="72" s="1"/>
  <c r="A35" i="72" s="1"/>
  <c r="Q34" i="72"/>
  <c r="N11" i="72"/>
  <c r="C19" i="72"/>
  <c r="D19" i="72"/>
  <c r="E19" i="72"/>
  <c r="F19" i="72"/>
  <c r="G19" i="72"/>
  <c r="H19" i="72"/>
  <c r="I19" i="72"/>
  <c r="J19" i="72"/>
  <c r="K19" i="72"/>
  <c r="L19" i="72"/>
  <c r="N19" i="72"/>
  <c r="C24" i="72"/>
  <c r="N24" i="72" s="1"/>
  <c r="D24" i="72"/>
  <c r="E24" i="72"/>
  <c r="F24" i="72"/>
  <c r="G24" i="72"/>
  <c r="H24" i="72"/>
  <c r="I24" i="72"/>
  <c r="J24" i="72"/>
  <c r="K24" i="72"/>
  <c r="L24" i="72"/>
  <c r="C29" i="72"/>
  <c r="N29" i="72" s="1"/>
  <c r="D29" i="72"/>
  <c r="E29" i="72"/>
  <c r="F29" i="72"/>
  <c r="G29" i="72"/>
  <c r="H29" i="72"/>
  <c r="I29" i="72"/>
  <c r="J29" i="72"/>
  <c r="K23" i="72"/>
  <c r="K29" i="72"/>
  <c r="L29" i="72"/>
  <c r="N32" i="72"/>
  <c r="N34" i="72"/>
  <c r="Q33" i="72"/>
  <c r="C18" i="72"/>
  <c r="D18" i="72"/>
  <c r="E18" i="72"/>
  <c r="F18" i="72"/>
  <c r="G18" i="72"/>
  <c r="H18" i="72"/>
  <c r="I18" i="72"/>
  <c r="J18" i="72"/>
  <c r="K18" i="72"/>
  <c r="L18" i="72"/>
  <c r="N18" i="72"/>
  <c r="C23" i="72"/>
  <c r="D23" i="72"/>
  <c r="E23" i="72"/>
  <c r="F23" i="72"/>
  <c r="G23" i="72"/>
  <c r="H23" i="72"/>
  <c r="I23" i="72"/>
  <c r="J23" i="72"/>
  <c r="L23" i="72"/>
  <c r="N23" i="72"/>
  <c r="C28" i="72"/>
  <c r="D28" i="72"/>
  <c r="E28" i="72"/>
  <c r="F28" i="72"/>
  <c r="G28" i="72"/>
  <c r="H28" i="72"/>
  <c r="I28" i="72"/>
  <c r="J28" i="72"/>
  <c r="L28" i="72"/>
  <c r="N28" i="72"/>
  <c r="N33" i="72"/>
  <c r="C31" i="72"/>
  <c r="D31" i="72"/>
  <c r="E31" i="72"/>
  <c r="F31" i="72"/>
  <c r="G31" i="72"/>
  <c r="H31" i="72"/>
  <c r="I31" i="72"/>
  <c r="J31" i="72"/>
  <c r="K31" i="72"/>
  <c r="L31" i="72"/>
  <c r="N31" i="72"/>
  <c r="Q30" i="72"/>
  <c r="X32" i="72"/>
  <c r="X31" i="72"/>
  <c r="N30" i="72"/>
  <c r="Q29" i="72"/>
  <c r="Q17" i="72"/>
  <c r="Q21" i="72"/>
  <c r="Q26" i="72"/>
  <c r="X27" i="72"/>
  <c r="V28" i="72"/>
  <c r="N27" i="72"/>
  <c r="X26" i="72"/>
  <c r="N26" i="72"/>
  <c r="Q25" i="72"/>
  <c r="N25" i="72"/>
  <c r="A22" i="72"/>
  <c r="A23" i="72" s="1"/>
  <c r="A24" i="72" s="1"/>
  <c r="N22" i="72"/>
  <c r="X21" i="72"/>
  <c r="N21" i="72"/>
  <c r="X20" i="72"/>
  <c r="Q20" i="72"/>
  <c r="N20" i="72"/>
  <c r="A17" i="72"/>
  <c r="A18" i="72"/>
  <c r="A19" i="72" s="1"/>
  <c r="X17" i="72"/>
  <c r="N17" i="72"/>
  <c r="X16" i="72"/>
  <c r="Q16" i="72"/>
  <c r="N16" i="72"/>
  <c r="N15" i="72"/>
  <c r="D12" i="72"/>
  <c r="N35" i="74"/>
  <c r="A27" i="74"/>
  <c r="A28" i="74" s="1"/>
  <c r="A29" i="74" s="1"/>
  <c r="A32" i="74" s="1"/>
  <c r="A33" i="74" s="1"/>
  <c r="A34" i="74" s="1"/>
  <c r="A35" i="74" s="1"/>
  <c r="Q34" i="74"/>
  <c r="N11" i="74"/>
  <c r="C19" i="74"/>
  <c r="D19" i="74"/>
  <c r="E19" i="74"/>
  <c r="F19" i="74"/>
  <c r="G19" i="74"/>
  <c r="H19" i="74"/>
  <c r="I19" i="74"/>
  <c r="J19" i="74"/>
  <c r="K19" i="74"/>
  <c r="L19" i="74"/>
  <c r="N19" i="74"/>
  <c r="C24" i="74"/>
  <c r="D24" i="74"/>
  <c r="N24" i="74" s="1"/>
  <c r="E24" i="74"/>
  <c r="F24" i="74"/>
  <c r="G24" i="74"/>
  <c r="H24" i="74"/>
  <c r="I24" i="74"/>
  <c r="J24" i="74"/>
  <c r="K24" i="74"/>
  <c r="L24" i="74"/>
  <c r="C29" i="74"/>
  <c r="D29" i="74"/>
  <c r="E29" i="74"/>
  <c r="F29" i="74"/>
  <c r="G29" i="74"/>
  <c r="H29" i="74"/>
  <c r="I29" i="74"/>
  <c r="J29" i="74"/>
  <c r="K23" i="74"/>
  <c r="K26" i="74" s="1"/>
  <c r="L29" i="74"/>
  <c r="Q33" i="74"/>
  <c r="C18" i="74"/>
  <c r="C31" i="74" s="1"/>
  <c r="D18" i="74"/>
  <c r="E18" i="74"/>
  <c r="E31" i="74" s="1"/>
  <c r="F18" i="74"/>
  <c r="F31" i="74" s="1"/>
  <c r="G18" i="74"/>
  <c r="H18" i="74"/>
  <c r="I18" i="74"/>
  <c r="I31" i="74" s="1"/>
  <c r="J18" i="74"/>
  <c r="K18" i="74"/>
  <c r="L18" i="74"/>
  <c r="C23" i="74"/>
  <c r="N23" i="74" s="1"/>
  <c r="D23" i="74"/>
  <c r="E23" i="74"/>
  <c r="F23" i="74"/>
  <c r="G23" i="74"/>
  <c r="H23" i="74"/>
  <c r="H31" i="74" s="1"/>
  <c r="I23" i="74"/>
  <c r="J23" i="74"/>
  <c r="J31" i="74" s="1"/>
  <c r="L23" i="74"/>
  <c r="C28" i="74"/>
  <c r="D28" i="74"/>
  <c r="E28" i="74"/>
  <c r="F28" i="74"/>
  <c r="G28" i="74"/>
  <c r="G31" i="74" s="1"/>
  <c r="H28" i="74"/>
  <c r="I28" i="74"/>
  <c r="J28" i="74"/>
  <c r="L28" i="74"/>
  <c r="L31" i="74" s="1"/>
  <c r="D31" i="74"/>
  <c r="N25" i="74"/>
  <c r="A22" i="74"/>
  <c r="A23" i="74"/>
  <c r="A24" i="74" s="1"/>
  <c r="N22" i="74"/>
  <c r="N21" i="74"/>
  <c r="N20" i="74"/>
  <c r="A17" i="74"/>
  <c r="A18" i="74" s="1"/>
  <c r="A19" i="74" s="1"/>
  <c r="N17" i="74"/>
  <c r="N16" i="74"/>
  <c r="N15" i="74"/>
  <c r="D12" i="74"/>
  <c r="D48" i="59"/>
  <c r="E48" i="59"/>
  <c r="F48" i="59"/>
  <c r="G48" i="59"/>
  <c r="H48" i="59"/>
  <c r="I48" i="59"/>
  <c r="D49" i="59"/>
  <c r="E49" i="59"/>
  <c r="F49" i="59"/>
  <c r="G49" i="59"/>
  <c r="H49" i="59"/>
  <c r="I49" i="59"/>
  <c r="D52" i="59"/>
  <c r="E52" i="59"/>
  <c r="F52" i="59"/>
  <c r="G52" i="59"/>
  <c r="H52" i="59"/>
  <c r="I52" i="59"/>
  <c r="D53" i="59"/>
  <c r="E53" i="59"/>
  <c r="F53" i="59"/>
  <c r="G53" i="59"/>
  <c r="H53" i="59"/>
  <c r="I53" i="59"/>
  <c r="K13" i="71"/>
  <c r="M13" i="71"/>
  <c r="O13" i="71"/>
  <c r="P13" i="71"/>
  <c r="Q13" i="71"/>
  <c r="S13" i="71"/>
  <c r="T13" i="71"/>
  <c r="U13" i="71"/>
  <c r="W13" i="71"/>
  <c r="X13" i="71"/>
  <c r="Y13" i="71"/>
  <c r="A14" i="7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27" i="71" s="1"/>
  <c r="A28" i="71" s="1"/>
  <c r="A29" i="71" s="1"/>
  <c r="A30" i="71" s="1"/>
  <c r="A31" i="71" s="1"/>
  <c r="A32" i="71" s="1"/>
  <c r="A33" i="71" s="1"/>
  <c r="A34" i="71" s="1"/>
  <c r="A35" i="71" s="1"/>
  <c r="A36" i="71" s="1"/>
  <c r="A37" i="71" s="1"/>
  <c r="A38" i="71" s="1"/>
  <c r="A39" i="71" s="1"/>
  <c r="A40" i="71" s="1"/>
  <c r="A41" i="71" s="1"/>
  <c r="A42" i="71" s="1"/>
  <c r="A43" i="71" s="1"/>
  <c r="A44" i="71" s="1"/>
  <c r="A45" i="71" s="1"/>
  <c r="A46" i="71" s="1"/>
  <c r="A47" i="71" s="1"/>
  <c r="A48" i="71" s="1"/>
  <c r="A49" i="71" s="1"/>
  <c r="A50" i="71" s="1"/>
  <c r="A51" i="71" s="1"/>
  <c r="A52" i="71" s="1"/>
  <c r="A57" i="71" s="1"/>
  <c r="A58" i="71" s="1"/>
  <c r="A59" i="71" s="1"/>
  <c r="A60" i="71" s="1"/>
  <c r="A61" i="71" s="1"/>
  <c r="A62" i="71" s="1"/>
  <c r="A63" i="71" s="1"/>
  <c r="A64" i="71" s="1"/>
  <c r="A65" i="71" s="1"/>
  <c r="A66" i="71" s="1"/>
  <c r="K14" i="71"/>
  <c r="M14" i="71"/>
  <c r="O14" i="71"/>
  <c r="P14" i="71"/>
  <c r="Q14" i="71"/>
  <c r="S14" i="71"/>
  <c r="T14" i="71"/>
  <c r="U14" i="71"/>
  <c r="W14" i="71"/>
  <c r="X14" i="71"/>
  <c r="Y14" i="71"/>
  <c r="K15" i="71"/>
  <c r="M15" i="71"/>
  <c r="O15" i="71"/>
  <c r="P15" i="71"/>
  <c r="I77" i="71" s="1"/>
  <c r="I81" i="71" s="1"/>
  <c r="Q15" i="71"/>
  <c r="S15" i="71"/>
  <c r="T15" i="71"/>
  <c r="U15" i="71"/>
  <c r="W15" i="71"/>
  <c r="X15" i="71"/>
  <c r="Y15" i="71"/>
  <c r="K16" i="71"/>
  <c r="M16" i="71"/>
  <c r="O16" i="71"/>
  <c r="P16" i="71"/>
  <c r="Q16" i="71"/>
  <c r="S16" i="71"/>
  <c r="I91" i="71" s="1"/>
  <c r="T16" i="71"/>
  <c r="U16" i="71"/>
  <c r="G89" i="71" s="1"/>
  <c r="W16" i="71"/>
  <c r="X16" i="71"/>
  <c r="Y16" i="71"/>
  <c r="K17" i="71"/>
  <c r="M17" i="71"/>
  <c r="O17" i="71"/>
  <c r="P17" i="71"/>
  <c r="Q17" i="71"/>
  <c r="S17" i="71"/>
  <c r="T17" i="71"/>
  <c r="U17" i="71"/>
  <c r="W17" i="71"/>
  <c r="X17" i="71"/>
  <c r="Y17" i="71"/>
  <c r="K18" i="71"/>
  <c r="M18" i="71"/>
  <c r="O18" i="71"/>
  <c r="P18" i="71"/>
  <c r="Q18" i="71"/>
  <c r="S18" i="71"/>
  <c r="T18" i="71"/>
  <c r="U18" i="71"/>
  <c r="W18" i="71"/>
  <c r="X18" i="71"/>
  <c r="Y18" i="71"/>
  <c r="K19" i="71"/>
  <c r="M19" i="71"/>
  <c r="O19" i="71"/>
  <c r="P19" i="71"/>
  <c r="Q19" i="71"/>
  <c r="S19" i="71"/>
  <c r="T19" i="71"/>
  <c r="U19" i="71"/>
  <c r="W19" i="71"/>
  <c r="X19" i="71"/>
  <c r="Y19" i="71"/>
  <c r="K20" i="71"/>
  <c r="M20" i="71"/>
  <c r="O20" i="71"/>
  <c r="P20" i="71"/>
  <c r="Q20" i="71"/>
  <c r="S20" i="71"/>
  <c r="T20" i="71"/>
  <c r="U20" i="71"/>
  <c r="W20" i="71"/>
  <c r="X20" i="71"/>
  <c r="Y20" i="71"/>
  <c r="K21" i="71"/>
  <c r="M21" i="71"/>
  <c r="O21" i="71"/>
  <c r="P21" i="71"/>
  <c r="Q21" i="71"/>
  <c r="S21" i="71"/>
  <c r="T21" i="71"/>
  <c r="U21" i="71"/>
  <c r="W21" i="71"/>
  <c r="X21" i="71"/>
  <c r="Y21" i="71"/>
  <c r="K22" i="71"/>
  <c r="M22" i="71"/>
  <c r="O22" i="71"/>
  <c r="P22" i="71"/>
  <c r="Q22" i="71"/>
  <c r="S22" i="71"/>
  <c r="T22" i="71"/>
  <c r="U22" i="71"/>
  <c r="W22" i="71"/>
  <c r="X22" i="71"/>
  <c r="Y22" i="71"/>
  <c r="K23" i="71"/>
  <c r="M23" i="71"/>
  <c r="O23" i="71"/>
  <c r="P23" i="71"/>
  <c r="Q23" i="71"/>
  <c r="S23" i="71"/>
  <c r="T23" i="71"/>
  <c r="U23" i="71"/>
  <c r="W23" i="71"/>
  <c r="X23" i="71"/>
  <c r="Y23" i="71"/>
  <c r="K24" i="71"/>
  <c r="M24" i="71"/>
  <c r="O24" i="71"/>
  <c r="P24" i="71"/>
  <c r="Q24" i="71"/>
  <c r="S24" i="71"/>
  <c r="T24" i="71"/>
  <c r="U24" i="71"/>
  <c r="W24" i="71"/>
  <c r="X24" i="71"/>
  <c r="Y24" i="71"/>
  <c r="K25" i="71"/>
  <c r="M25" i="71"/>
  <c r="O25" i="71"/>
  <c r="P25" i="71"/>
  <c r="Q25" i="71"/>
  <c r="S25" i="71"/>
  <c r="T25" i="71"/>
  <c r="U25" i="71"/>
  <c r="W25" i="71"/>
  <c r="X25" i="71"/>
  <c r="Y25" i="71"/>
  <c r="K26" i="71"/>
  <c r="M26" i="71"/>
  <c r="O26" i="71"/>
  <c r="P26" i="71"/>
  <c r="Q26" i="71"/>
  <c r="S26" i="71"/>
  <c r="T26" i="71"/>
  <c r="U26" i="71"/>
  <c r="W26" i="71"/>
  <c r="X26" i="71"/>
  <c r="Y26" i="71"/>
  <c r="K27" i="71"/>
  <c r="M27" i="71"/>
  <c r="O27" i="71"/>
  <c r="P27" i="71"/>
  <c r="Q27" i="71"/>
  <c r="S27" i="71"/>
  <c r="T27" i="71"/>
  <c r="U27" i="71"/>
  <c r="W27" i="71"/>
  <c r="X27" i="71"/>
  <c r="Y27" i="71"/>
  <c r="K28" i="71"/>
  <c r="M28" i="71"/>
  <c r="O28" i="71"/>
  <c r="P28" i="71"/>
  <c r="Q28" i="71"/>
  <c r="S28" i="71"/>
  <c r="T28" i="71"/>
  <c r="U28" i="71"/>
  <c r="W28" i="71"/>
  <c r="X28" i="71"/>
  <c r="Y28" i="71"/>
  <c r="K29" i="71"/>
  <c r="M29" i="71"/>
  <c r="O29" i="71"/>
  <c r="P29" i="71"/>
  <c r="Q29" i="71"/>
  <c r="S29" i="71"/>
  <c r="T29" i="71"/>
  <c r="U29" i="71"/>
  <c r="W29" i="71"/>
  <c r="X29" i="71"/>
  <c r="Y29" i="71"/>
  <c r="K30" i="71"/>
  <c r="M30" i="71"/>
  <c r="O30" i="71"/>
  <c r="P30" i="71"/>
  <c r="Q30" i="71"/>
  <c r="S30" i="71"/>
  <c r="T30" i="71"/>
  <c r="U30" i="71"/>
  <c r="W30" i="71"/>
  <c r="X30" i="71"/>
  <c r="Y30" i="71"/>
  <c r="K31" i="71"/>
  <c r="M31" i="71"/>
  <c r="O31" i="71"/>
  <c r="P31" i="71"/>
  <c r="Q31" i="71"/>
  <c r="S31" i="71"/>
  <c r="T31" i="71"/>
  <c r="U31" i="71"/>
  <c r="W31" i="71"/>
  <c r="X31" i="71"/>
  <c r="Y31" i="71"/>
  <c r="K32" i="71"/>
  <c r="M32" i="71"/>
  <c r="O32" i="71"/>
  <c r="P32" i="71"/>
  <c r="Q32" i="71"/>
  <c r="S32" i="71"/>
  <c r="T32" i="71"/>
  <c r="U32" i="71"/>
  <c r="W32" i="71"/>
  <c r="X32" i="71"/>
  <c r="Y32" i="71"/>
  <c r="K33" i="71"/>
  <c r="M33" i="71"/>
  <c r="O33" i="71"/>
  <c r="P33" i="71"/>
  <c r="Q33" i="71"/>
  <c r="S33" i="71"/>
  <c r="T33" i="71"/>
  <c r="U33" i="71"/>
  <c r="W33" i="71"/>
  <c r="X33" i="71"/>
  <c r="Y33" i="71"/>
  <c r="K34" i="71"/>
  <c r="M34" i="71"/>
  <c r="O34" i="71"/>
  <c r="P34" i="71"/>
  <c r="Q34" i="71"/>
  <c r="S34" i="71"/>
  <c r="T34" i="71"/>
  <c r="U34" i="71"/>
  <c r="W34" i="71"/>
  <c r="X34" i="71"/>
  <c r="Y34" i="71"/>
  <c r="K35" i="71"/>
  <c r="M35" i="71"/>
  <c r="O35" i="71"/>
  <c r="P35" i="71"/>
  <c r="Q35" i="71"/>
  <c r="S35" i="71"/>
  <c r="T35" i="71"/>
  <c r="U35" i="71"/>
  <c r="W35" i="71"/>
  <c r="X35" i="71"/>
  <c r="Y35" i="71"/>
  <c r="K36" i="71"/>
  <c r="M36" i="71"/>
  <c r="O36" i="71"/>
  <c r="P36" i="71"/>
  <c r="Q36" i="71"/>
  <c r="S36" i="71"/>
  <c r="T36" i="71"/>
  <c r="U36" i="71"/>
  <c r="W36" i="71"/>
  <c r="X36" i="71"/>
  <c r="Y36" i="71"/>
  <c r="K37" i="71"/>
  <c r="M37" i="71"/>
  <c r="O37" i="71"/>
  <c r="P37" i="71"/>
  <c r="Q37" i="71"/>
  <c r="S37" i="71"/>
  <c r="T37" i="71"/>
  <c r="U37" i="71"/>
  <c r="W37" i="71"/>
  <c r="X37" i="71"/>
  <c r="Y37" i="71"/>
  <c r="K38" i="71"/>
  <c r="M38" i="71"/>
  <c r="O38" i="71"/>
  <c r="P38" i="71"/>
  <c r="Q38" i="71"/>
  <c r="S38" i="71"/>
  <c r="T38" i="71"/>
  <c r="U38" i="71"/>
  <c r="W38" i="71"/>
  <c r="X38" i="71"/>
  <c r="Y38" i="71"/>
  <c r="K39" i="71"/>
  <c r="M39" i="71"/>
  <c r="O39" i="71"/>
  <c r="P39" i="71"/>
  <c r="Q39" i="71"/>
  <c r="S39" i="71"/>
  <c r="T39" i="71"/>
  <c r="U39" i="71"/>
  <c r="W39" i="71"/>
  <c r="X39" i="71"/>
  <c r="Y39" i="71"/>
  <c r="K40" i="71"/>
  <c r="M40" i="71"/>
  <c r="O40" i="71"/>
  <c r="P40" i="71"/>
  <c r="Q40" i="71"/>
  <c r="S40" i="71"/>
  <c r="T40" i="71"/>
  <c r="U40" i="71"/>
  <c r="W40" i="71"/>
  <c r="X40" i="71"/>
  <c r="Y40" i="71"/>
  <c r="K41" i="71"/>
  <c r="M41" i="71"/>
  <c r="O41" i="71"/>
  <c r="P41" i="71"/>
  <c r="Q41" i="71"/>
  <c r="S41" i="71"/>
  <c r="T41" i="71"/>
  <c r="U41" i="71"/>
  <c r="W41" i="71"/>
  <c r="X41" i="71"/>
  <c r="Y41" i="71"/>
  <c r="K42" i="71"/>
  <c r="M42" i="71"/>
  <c r="O42" i="71"/>
  <c r="P42" i="71"/>
  <c r="Q42" i="71"/>
  <c r="S42" i="71"/>
  <c r="T42" i="71"/>
  <c r="U42" i="71"/>
  <c r="W42" i="71"/>
  <c r="X42" i="71"/>
  <c r="Y42" i="71"/>
  <c r="K43" i="71"/>
  <c r="M43" i="71"/>
  <c r="O43" i="71"/>
  <c r="P43" i="71"/>
  <c r="Q43" i="71"/>
  <c r="S43" i="71"/>
  <c r="T43" i="71"/>
  <c r="U43" i="71"/>
  <c r="W43" i="71"/>
  <c r="X43" i="71"/>
  <c r="Y43" i="71"/>
  <c r="K44" i="71"/>
  <c r="M44" i="71"/>
  <c r="O44" i="71"/>
  <c r="P44" i="71"/>
  <c r="Q44" i="71"/>
  <c r="S44" i="71"/>
  <c r="T44" i="71"/>
  <c r="U44" i="71"/>
  <c r="W44" i="71"/>
  <c r="X44" i="71"/>
  <c r="Y44" i="71"/>
  <c r="K45" i="71"/>
  <c r="M45" i="71"/>
  <c r="O45" i="71"/>
  <c r="P45" i="71"/>
  <c r="Q45" i="71"/>
  <c r="S45" i="71"/>
  <c r="T45" i="71"/>
  <c r="U45" i="71"/>
  <c r="W45" i="71"/>
  <c r="X45" i="71"/>
  <c r="Y45" i="71"/>
  <c r="K46" i="71"/>
  <c r="M46" i="71"/>
  <c r="O46" i="71"/>
  <c r="P46" i="71"/>
  <c r="Q46" i="71"/>
  <c r="S46" i="71"/>
  <c r="T46" i="71"/>
  <c r="U46" i="71"/>
  <c r="W46" i="71"/>
  <c r="X46" i="71"/>
  <c r="Y46" i="71"/>
  <c r="K47" i="71"/>
  <c r="M47" i="71"/>
  <c r="O47" i="71"/>
  <c r="P47" i="71"/>
  <c r="Q47" i="71"/>
  <c r="S47" i="71"/>
  <c r="T47" i="71"/>
  <c r="U47" i="71"/>
  <c r="W47" i="71"/>
  <c r="X47" i="71"/>
  <c r="Y47" i="71"/>
  <c r="K48" i="71"/>
  <c r="M48" i="71"/>
  <c r="O48" i="71"/>
  <c r="P48" i="71"/>
  <c r="Q48" i="71"/>
  <c r="S48" i="71"/>
  <c r="T48" i="71"/>
  <c r="U48" i="71"/>
  <c r="W48" i="71"/>
  <c r="X48" i="71"/>
  <c r="Y48" i="71"/>
  <c r="K49" i="71"/>
  <c r="M49" i="71"/>
  <c r="O49" i="71"/>
  <c r="P49" i="71"/>
  <c r="Q49" i="71"/>
  <c r="S49" i="71"/>
  <c r="T49" i="71"/>
  <c r="U49" i="71"/>
  <c r="W49" i="71"/>
  <c r="X49" i="71"/>
  <c r="Y49" i="71"/>
  <c r="K50" i="71"/>
  <c r="M50" i="71"/>
  <c r="O50" i="71"/>
  <c r="P50" i="71"/>
  <c r="Q50" i="71"/>
  <c r="S50" i="71"/>
  <c r="T50" i="71"/>
  <c r="U50" i="71"/>
  <c r="W50" i="71"/>
  <c r="X50" i="71"/>
  <c r="Y50" i="71"/>
  <c r="K51" i="71"/>
  <c r="M51" i="71"/>
  <c r="O51" i="71"/>
  <c r="P51" i="71"/>
  <c r="Q51" i="71"/>
  <c r="S51" i="71"/>
  <c r="T51" i="71"/>
  <c r="U51" i="71"/>
  <c r="W51" i="71"/>
  <c r="X51" i="71"/>
  <c r="Y51" i="71"/>
  <c r="K52" i="71"/>
  <c r="M52" i="71"/>
  <c r="O52" i="71"/>
  <c r="P52" i="71"/>
  <c r="Q52" i="71"/>
  <c r="S52" i="71"/>
  <c r="T52" i="71"/>
  <c r="U52" i="71"/>
  <c r="W52" i="71"/>
  <c r="X52" i="71"/>
  <c r="Y52" i="71"/>
  <c r="K57" i="71"/>
  <c r="M57" i="71"/>
  <c r="O57" i="71"/>
  <c r="P57" i="71"/>
  <c r="Q57" i="71"/>
  <c r="S57" i="71"/>
  <c r="T57" i="71"/>
  <c r="U57" i="71"/>
  <c r="W57" i="71"/>
  <c r="X57" i="71"/>
  <c r="Y57" i="71"/>
  <c r="K58" i="71"/>
  <c r="M58" i="71"/>
  <c r="O58" i="71"/>
  <c r="P58" i="71"/>
  <c r="Q58" i="71"/>
  <c r="S58" i="71"/>
  <c r="T58" i="71"/>
  <c r="U58" i="71"/>
  <c r="W58" i="71"/>
  <c r="X58" i="71"/>
  <c r="Y58" i="71"/>
  <c r="K59" i="71"/>
  <c r="M59" i="71"/>
  <c r="O59" i="71"/>
  <c r="P59" i="71"/>
  <c r="Q59" i="71"/>
  <c r="S59" i="71"/>
  <c r="T59" i="71"/>
  <c r="U59" i="71"/>
  <c r="W59" i="71"/>
  <c r="X59" i="71"/>
  <c r="Y59" i="71"/>
  <c r="K60" i="71"/>
  <c r="M60" i="71"/>
  <c r="O60" i="71"/>
  <c r="P60" i="71"/>
  <c r="Q60" i="71"/>
  <c r="S60" i="71"/>
  <c r="T60" i="71"/>
  <c r="U60" i="71"/>
  <c r="W60" i="71"/>
  <c r="X60" i="71"/>
  <c r="Y60" i="71"/>
  <c r="K61" i="71"/>
  <c r="M61" i="71"/>
  <c r="O61" i="71"/>
  <c r="P61" i="71"/>
  <c r="Q61" i="71"/>
  <c r="S61" i="71"/>
  <c r="T61" i="71"/>
  <c r="U61" i="71"/>
  <c r="W61" i="71"/>
  <c r="X61" i="71"/>
  <c r="Y61" i="71"/>
  <c r="K62" i="71"/>
  <c r="M62" i="71"/>
  <c r="O62" i="71"/>
  <c r="P62" i="71"/>
  <c r="Q62" i="71"/>
  <c r="S62" i="71"/>
  <c r="T62" i="71"/>
  <c r="U62" i="71"/>
  <c r="W62" i="71"/>
  <c r="X62" i="71"/>
  <c r="Y62" i="71"/>
  <c r="K63" i="71"/>
  <c r="M63" i="71"/>
  <c r="O63" i="71"/>
  <c r="P63" i="71"/>
  <c r="Q63" i="71"/>
  <c r="S63" i="71"/>
  <c r="T63" i="71"/>
  <c r="U63" i="71"/>
  <c r="W63" i="71"/>
  <c r="X63" i="71"/>
  <c r="Y63" i="71"/>
  <c r="K64" i="71"/>
  <c r="M64" i="71"/>
  <c r="O64" i="71"/>
  <c r="P64" i="71"/>
  <c r="Q64" i="71"/>
  <c r="S64" i="71"/>
  <c r="T64" i="71"/>
  <c r="U64" i="71"/>
  <c r="W64" i="71"/>
  <c r="X64" i="71"/>
  <c r="Y64" i="71"/>
  <c r="K65" i="71"/>
  <c r="M65" i="71"/>
  <c r="O65" i="71"/>
  <c r="P65" i="71"/>
  <c r="Q65" i="71"/>
  <c r="S65" i="71"/>
  <c r="T65" i="71"/>
  <c r="U65" i="71"/>
  <c r="W65" i="71"/>
  <c r="X65" i="71"/>
  <c r="Y65" i="71"/>
  <c r="K66" i="71"/>
  <c r="M66" i="71"/>
  <c r="O66" i="71"/>
  <c r="P66" i="71"/>
  <c r="Q66" i="71"/>
  <c r="S66" i="71"/>
  <c r="T66" i="71"/>
  <c r="U66" i="71"/>
  <c r="W66" i="71"/>
  <c r="X66" i="71"/>
  <c r="Y66" i="71"/>
  <c r="G77" i="71"/>
  <c r="I79" i="71"/>
  <c r="I89" i="71"/>
  <c r="G91" i="71"/>
  <c r="A5" i="69"/>
  <c r="A7" i="69"/>
  <c r="D14" i="69"/>
  <c r="D15" i="69"/>
  <c r="D16" i="69"/>
  <c r="D17" i="69"/>
  <c r="D18" i="69"/>
  <c r="D19" i="69"/>
  <c r="D20" i="69"/>
  <c r="D21" i="69"/>
  <c r="D22" i="69"/>
  <c r="D36" i="69"/>
  <c r="H36" i="69"/>
  <c r="D37" i="69"/>
  <c r="H37" i="69"/>
  <c r="D41" i="69"/>
  <c r="D42" i="69"/>
  <c r="B46" i="69"/>
  <c r="W11" i="48"/>
  <c r="AH11" i="48"/>
  <c r="W12" i="48"/>
  <c r="AH12" i="48"/>
  <c r="W13" i="48"/>
  <c r="AH13" i="48"/>
  <c r="W14" i="48"/>
  <c r="AH14" i="48"/>
  <c r="W15" i="48"/>
  <c r="AH15" i="48"/>
  <c r="W16" i="48"/>
  <c r="AH16" i="48"/>
  <c r="W24" i="48"/>
  <c r="AH24" i="48"/>
  <c r="W25" i="48"/>
  <c r="AH25" i="48"/>
  <c r="W26" i="48"/>
  <c r="AH26" i="48"/>
  <c r="W27" i="48"/>
  <c r="AH27" i="48"/>
  <c r="W28" i="48"/>
  <c r="AH28" i="48"/>
  <c r="W29" i="48"/>
  <c r="AH29" i="48"/>
  <c r="W30" i="48"/>
  <c r="AH30" i="48"/>
  <c r="W31" i="48"/>
  <c r="AH31" i="48"/>
  <c r="W32" i="48"/>
  <c r="AH32" i="48"/>
  <c r="W33" i="48"/>
  <c r="AH33" i="48"/>
  <c r="W34" i="48"/>
  <c r="AH34" i="48"/>
  <c r="W35" i="48"/>
  <c r="AH35" i="48"/>
  <c r="W36" i="48"/>
  <c r="AH36" i="48"/>
  <c r="W37" i="48"/>
  <c r="AH37" i="48"/>
  <c r="W38" i="48"/>
  <c r="AH38" i="48"/>
  <c r="W39" i="48"/>
  <c r="AH39" i="48"/>
  <c r="W40" i="48"/>
  <c r="AH40" i="48"/>
  <c r="W41" i="48"/>
  <c r="AH41" i="48"/>
  <c r="W42" i="48"/>
  <c r="AH42" i="48"/>
  <c r="W43" i="48"/>
  <c r="AH43" i="48"/>
  <c r="W44" i="48"/>
  <c r="AH44" i="48"/>
  <c r="W45" i="48"/>
  <c r="AH45" i="48"/>
  <c r="W46" i="48"/>
  <c r="AH46" i="48"/>
  <c r="G93" i="71" l="1"/>
  <c r="K89" i="71"/>
  <c r="K91" i="71"/>
  <c r="K77" i="71"/>
  <c r="K28" i="74"/>
  <c r="K31" i="74" s="1"/>
  <c r="K29" i="74"/>
  <c r="N29" i="74" s="1"/>
  <c r="N32" i="74" s="1"/>
  <c r="N26" i="74"/>
  <c r="I93" i="71"/>
  <c r="N18" i="74"/>
  <c r="K27" i="74"/>
  <c r="N27" i="74" s="1"/>
  <c r="G79" i="71"/>
  <c r="K79" i="71" s="1"/>
  <c r="D29" i="78"/>
  <c r="Q17" i="74" l="1"/>
  <c r="N34" i="74"/>
  <c r="Q16" i="74"/>
  <c r="N31" i="74"/>
  <c r="N30" i="74"/>
  <c r="P29" i="78"/>
  <c r="D30" i="78"/>
  <c r="P30" i="78" s="1"/>
  <c r="N28" i="74"/>
  <c r="K93" i="71"/>
  <c r="K81" i="71"/>
  <c r="G81" i="71"/>
  <c r="N33" i="74"/>
  <c r="G90" i="71" l="1"/>
  <c r="I90" i="71"/>
  <c r="I94" i="71" s="1"/>
  <c r="G92" i="71"/>
  <c r="K92" i="71" s="1"/>
  <c r="I92" i="71"/>
  <c r="O31" i="78"/>
  <c r="B34" i="78"/>
  <c r="Q30" i="74"/>
  <c r="Q29" i="74"/>
  <c r="Q20" i="74"/>
  <c r="Q21" i="74"/>
  <c r="G78" i="71"/>
  <c r="I78" i="71"/>
  <c r="I82" i="71" s="1"/>
  <c r="G80" i="71"/>
  <c r="K80" i="71" s="1"/>
  <c r="I80" i="71"/>
  <c r="G34" i="74"/>
  <c r="H34" i="74"/>
  <c r="I34" i="74"/>
  <c r="X17" i="74"/>
  <c r="Q25" i="74"/>
  <c r="X16" i="74"/>
  <c r="X32" i="74" l="1"/>
  <c r="X31" i="74"/>
  <c r="O32" i="78"/>
  <c r="P31" i="78"/>
  <c r="P32" i="78" s="1"/>
  <c r="K78" i="71"/>
  <c r="K82" i="71" s="1"/>
  <c r="G82" i="71"/>
  <c r="X20" i="74"/>
  <c r="X21" i="74"/>
  <c r="Q26" i="74"/>
  <c r="J34" i="74"/>
  <c r="E34" i="74"/>
  <c r="K90" i="71"/>
  <c r="K94" i="71" s="1"/>
  <c r="G94" i="71"/>
  <c r="X27" i="74" l="1"/>
  <c r="V28" i="74" s="1"/>
  <c r="X26" i="74"/>
  <c r="B52" i="78"/>
  <c r="B36" i="78"/>
  <c r="C38" i="78" s="1"/>
  <c r="B38" i="78" s="1"/>
  <c r="B53" i="78" l="1"/>
  <c r="D52" i="78"/>
  <c r="B54" i="7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aiken</author>
    <author>Andrea Paver</author>
  </authors>
  <commentList>
    <comment ref="F4" authorId="0" shapeId="0" xr:uid="{A4C0430C-B6B5-4EDC-A9D9-7D16F0621937}">
      <text>
        <r>
          <rPr>
            <sz val="8"/>
            <color indexed="81"/>
            <rFont val="Tahoma"/>
            <charset val="1"/>
          </rPr>
          <t xml:space="preserve">Instruction:
Explain the constraint and the process.
</t>
        </r>
      </text>
    </comment>
    <comment ref="F7" authorId="1" shapeId="0" xr:uid="{41C4E9E0-A309-40EB-9E57-3BFAE6121AA9}">
      <text>
        <r>
          <rPr>
            <b/>
            <sz val="8"/>
            <color indexed="81"/>
            <rFont val="Tahoma"/>
          </rPr>
          <t>Instructions:</t>
        </r>
        <r>
          <rPr>
            <sz val="8"/>
            <color indexed="81"/>
            <rFont val="Tahoma"/>
          </rPr>
          <t xml:space="preserve">
Need to input minimum of 10 days of data</t>
        </r>
      </text>
    </comment>
    <comment ref="F8" authorId="1" shapeId="0" xr:uid="{56A88A21-C67F-4D62-A98C-8BB5DF2C1413}">
      <text>
        <r>
          <rPr>
            <b/>
            <sz val="8"/>
            <color indexed="81"/>
            <rFont val="Tahoma"/>
          </rPr>
          <t>Instructions:</t>
        </r>
        <r>
          <rPr>
            <sz val="8"/>
            <color indexed="81"/>
            <rFont val="Tahoma"/>
          </rPr>
          <t xml:space="preserve">
An average of production requirements over the sample period</t>
        </r>
      </text>
    </comment>
    <comment ref="A13" authorId="1" shapeId="0" xr:uid="{B8894DE1-449A-4D9E-89E7-9D8CF4D80D5A}">
      <text>
        <r>
          <rPr>
            <b/>
            <sz val="8"/>
            <color indexed="81"/>
            <rFont val="Tahoma"/>
          </rPr>
          <t>Instructions:</t>
        </r>
        <r>
          <rPr>
            <sz val="8"/>
            <color indexed="81"/>
            <rFont val="Tahoma"/>
          </rPr>
          <t xml:space="preserve">
Taken from actual production records - not estimates. Hours worked at standard time or hours machine actually ran- not premium time (overtime)</t>
        </r>
      </text>
    </comment>
    <comment ref="A14" authorId="1" shapeId="0" xr:uid="{07E61455-36F4-42A1-B04B-AA4575939B68}">
      <text>
        <r>
          <rPr>
            <b/>
            <sz val="8"/>
            <color indexed="81"/>
            <rFont val="Tahoma"/>
          </rPr>
          <t>Instructions:</t>
        </r>
        <r>
          <rPr>
            <sz val="8"/>
            <color indexed="81"/>
            <rFont val="Tahoma"/>
          </rPr>
          <t xml:space="preserve">
Actual not estimated. Downtime includes setup, maintenance, no operator available, part shortages, etc. (Total number of hours down)</t>
        </r>
      </text>
    </comment>
    <comment ref="A15" authorId="1" shapeId="0" xr:uid="{2151669D-F28F-48C4-86A7-12BB7236EA81}">
      <text>
        <r>
          <rPr>
            <b/>
            <sz val="8"/>
            <color indexed="81"/>
            <rFont val="Tahoma"/>
          </rPr>
          <t>Instructions:</t>
        </r>
        <r>
          <rPr>
            <sz val="8"/>
            <color indexed="81"/>
            <rFont val="Tahoma"/>
          </rPr>
          <t xml:space="preserve">
Number of hours worked above standard time</t>
        </r>
      </text>
    </comment>
    <comment ref="A17" authorId="1" shapeId="0" xr:uid="{15770541-D1C5-495D-8B6A-3F5C58E5EAE5}">
      <text>
        <r>
          <rPr>
            <b/>
            <sz val="8"/>
            <color indexed="81"/>
            <rFont val="Tahoma"/>
          </rPr>
          <t>Comments:</t>
        </r>
        <r>
          <rPr>
            <sz val="8"/>
            <color indexed="81"/>
            <rFont val="Tahoma"/>
          </rPr>
          <t xml:space="preserve">
Includes Hrs worked - downtime + overtime
</t>
        </r>
      </text>
    </comment>
    <comment ref="A24" authorId="1" shapeId="0" xr:uid="{A0905E52-8A2A-400C-ACE2-7E90B3BFFE6F}">
      <text>
        <r>
          <rPr>
            <b/>
            <sz val="8"/>
            <color indexed="81"/>
            <rFont val="Tahoma"/>
          </rPr>
          <t>Instructions:</t>
        </r>
        <r>
          <rPr>
            <sz val="8"/>
            <color indexed="81"/>
            <rFont val="Tahoma"/>
          </rPr>
          <t xml:space="preserve">
Production non conforming product - not setup scrap</t>
        </r>
      </text>
    </comment>
    <comment ref="B34" authorId="1" shapeId="0" xr:uid="{4107F0E8-0AFE-45FC-A891-F6BBC3C3D2DD}">
      <text>
        <r>
          <rPr>
            <b/>
            <sz val="8"/>
            <color indexed="81"/>
            <rFont val="Tahoma"/>
          </rPr>
          <t>Comments:</t>
        </r>
        <r>
          <rPr>
            <sz val="8"/>
            <color indexed="81"/>
            <rFont val="Tahoma"/>
          </rPr>
          <t xml:space="preserve">
Based on clock hours or machine hours. Hours available / standard hours
</t>
        </r>
      </text>
    </comment>
    <comment ref="B35" authorId="1" shapeId="0" xr:uid="{A8E66266-75B8-44ED-BA7E-F7381C211D6C}">
      <text>
        <r>
          <rPr>
            <b/>
            <sz val="8"/>
            <color indexed="81"/>
            <rFont val="Tahoma"/>
          </rPr>
          <t>Comments:</t>
        </r>
        <r>
          <rPr>
            <sz val="8"/>
            <color indexed="81"/>
            <rFont val="Tahoma"/>
          </rPr>
          <t xml:space="preserve">
Average production per day</t>
        </r>
      </text>
    </comment>
    <comment ref="B36" authorId="1" shapeId="0" xr:uid="{4C086063-5BA5-43D4-B7F3-36983E5F1177}">
      <text>
        <r>
          <rPr>
            <b/>
            <sz val="8"/>
            <color indexed="81"/>
            <rFont val="Tahoma"/>
          </rPr>
          <t>Comments:</t>
        </r>
        <r>
          <rPr>
            <sz val="8"/>
            <color indexed="81"/>
            <rFont val="Tahoma"/>
          </rPr>
          <t xml:space="preserve">
(Hours available x utilization x efficiency) / standard hours
</t>
        </r>
      </text>
    </comment>
    <comment ref="B43" authorId="1" shapeId="0" xr:uid="{DEBAB112-7209-4A82-A653-CF0F5056E1E2}">
      <text>
        <r>
          <rPr>
            <b/>
            <sz val="8"/>
            <color indexed="81"/>
            <rFont val="Tahoma"/>
          </rPr>
          <t>Instructions:</t>
        </r>
        <r>
          <rPr>
            <sz val="8"/>
            <color indexed="81"/>
            <rFont val="Tahoma"/>
          </rPr>
          <t xml:space="preserve">
All new business scheduled into this machine/line</t>
        </r>
      </text>
    </comment>
    <comment ref="B47" authorId="1" shapeId="0" xr:uid="{A1449D4F-DF74-4B10-9BC7-09F84D82293D}">
      <text>
        <r>
          <rPr>
            <b/>
            <sz val="8"/>
            <color indexed="81"/>
            <rFont val="Tahoma"/>
          </rPr>
          <t>Instructions:</t>
        </r>
        <r>
          <rPr>
            <sz val="8"/>
            <color indexed="81"/>
            <rFont val="Tahoma"/>
          </rPr>
          <t xml:space="preserve">
Extra machines/people will calculate over the entire sample time period - not a one time only event - long term solution</t>
        </r>
      </text>
    </comment>
    <comment ref="B48" authorId="1" shapeId="0" xr:uid="{F428E683-3EF4-464D-9326-33540B743006}">
      <text>
        <r>
          <rPr>
            <b/>
            <sz val="8"/>
            <color indexed="81"/>
            <rFont val="Tahoma"/>
          </rPr>
          <t>Instructions:</t>
        </r>
        <r>
          <rPr>
            <sz val="8"/>
            <color indexed="81"/>
            <rFont val="Tahoma"/>
          </rPr>
          <t xml:space="preserve">
Extra shifts will calculate over the entire sample time period - not a one time only event - long term solution</t>
        </r>
      </text>
    </comment>
    <comment ref="B49" authorId="1" shapeId="0" xr:uid="{6E2CD787-ECAB-4B07-8477-CA558D9F8E0E}">
      <text>
        <r>
          <rPr>
            <b/>
            <sz val="8"/>
            <color indexed="81"/>
            <rFont val="Tahoma"/>
          </rPr>
          <t xml:space="preserve">Instructions:
</t>
        </r>
        <r>
          <rPr>
            <sz val="8"/>
            <color indexed="81"/>
            <rFont val="Tahoma"/>
            <family val="2"/>
          </rPr>
          <t xml:space="preserve">Extra hours will calculate over the entire sample time period - not a one time only event - long term solution
</t>
        </r>
      </text>
    </comment>
    <comment ref="C50" authorId="1" shapeId="0" xr:uid="{C263F43F-EC5E-43EE-9A82-244AA58ADE6E}">
      <text>
        <r>
          <rPr>
            <b/>
            <sz val="8"/>
            <color indexed="81"/>
            <rFont val="Tahoma"/>
          </rPr>
          <t>Instructions:</t>
        </r>
        <r>
          <rPr>
            <sz val="8"/>
            <color indexed="81"/>
            <rFont val="Tahoma"/>
          </rPr>
          <t xml:space="preserve">
A one time only overtime block - short term capacity solution</t>
        </r>
      </text>
    </comment>
  </commentList>
</comments>
</file>

<file path=xl/sharedStrings.xml><?xml version="1.0" encoding="utf-8"?>
<sst xmlns="http://schemas.openxmlformats.org/spreadsheetml/2006/main" count="1043" uniqueCount="598">
  <si>
    <t>No.</t>
  </si>
  <si>
    <t>Date</t>
  </si>
  <si>
    <t>FMEA Number:</t>
  </si>
  <si>
    <t>Action Results</t>
  </si>
  <si>
    <t>Process Responsibility:</t>
  </si>
  <si>
    <t>Process</t>
  </si>
  <si>
    <t>Class</t>
  </si>
  <si>
    <t>Tolerance</t>
  </si>
  <si>
    <t>State</t>
  </si>
  <si>
    <t>Zip</t>
  </si>
  <si>
    <t xml:space="preserve"> </t>
  </si>
  <si>
    <t>Description</t>
  </si>
  <si>
    <t>Core Team:</t>
  </si>
  <si>
    <t>Part Name:</t>
  </si>
  <si>
    <t>Supplier</t>
  </si>
  <si>
    <t>Product</t>
  </si>
  <si>
    <t>Supplier Name:</t>
  </si>
  <si>
    <t>ELEMENT:</t>
  </si>
  <si>
    <t>TITLE:</t>
  </si>
  <si>
    <t>INSPECTION AND TESTING</t>
  </si>
  <si>
    <t>CAPABILITY REPORT</t>
  </si>
  <si>
    <t>PART #</t>
  </si>
  <si>
    <t>CAVITY #</t>
  </si>
  <si>
    <t>Appearance class</t>
  </si>
  <si>
    <t>Inspector</t>
  </si>
  <si>
    <t>CONTROL #</t>
  </si>
  <si>
    <t>E.C. Level</t>
  </si>
  <si>
    <t>Dimension</t>
  </si>
  <si>
    <t>Print Location</t>
  </si>
  <si>
    <t>Insp. Method</t>
  </si>
  <si>
    <t>Comments</t>
  </si>
  <si>
    <t>Average</t>
  </si>
  <si>
    <t>Std. deviation</t>
  </si>
  <si>
    <t>Low Spec</t>
  </si>
  <si>
    <t>High Spec</t>
  </si>
  <si>
    <t>Cp index</t>
  </si>
  <si>
    <t>Cpk index</t>
  </si>
  <si>
    <t>Part Number:</t>
  </si>
  <si>
    <t>Prepared By:</t>
  </si>
  <si>
    <t>Key Dates:</t>
  </si>
  <si>
    <t>Process Function / Requirement</t>
  </si>
  <si>
    <t>Potential Failure Mode</t>
  </si>
  <si>
    <t>R.P.N.</t>
  </si>
  <si>
    <t>Recommended Action</t>
  </si>
  <si>
    <t>Responsibility &amp; Target Completion Date</t>
  </si>
  <si>
    <t>Action taken</t>
  </si>
  <si>
    <t>Control Plan</t>
  </si>
  <si>
    <t>Part/ Process Number</t>
  </si>
  <si>
    <t>Process Name / Operation Description</t>
  </si>
  <si>
    <t>Machine, Device, Jig, Tools for Mfg.</t>
  </si>
  <si>
    <t>Characteristics</t>
  </si>
  <si>
    <t>Evaluation Measurement Technique</t>
  </si>
  <si>
    <t>Size</t>
  </si>
  <si>
    <t>Freq.</t>
  </si>
  <si>
    <t>Control Method</t>
  </si>
  <si>
    <t>Reaction Plan</t>
  </si>
  <si>
    <t>Sample</t>
  </si>
  <si>
    <t>Method</t>
  </si>
  <si>
    <t>Product / Process / Specifications / Technique</t>
  </si>
  <si>
    <t>Process Capability (Cpk)*</t>
  </si>
  <si>
    <t>*With ± 1.5 sigma shift</t>
  </si>
  <si>
    <t>Process Flow Chart</t>
  </si>
  <si>
    <t xml:space="preserve">Process Description: </t>
  </si>
  <si>
    <t>Date:</t>
  </si>
  <si>
    <t xml:space="preserve">Worksite Description: </t>
  </si>
  <si>
    <t>Page:</t>
  </si>
  <si>
    <t>#</t>
  </si>
  <si>
    <t>What</t>
  </si>
  <si>
    <t>Who</t>
  </si>
  <si>
    <t>Location</t>
  </si>
  <si>
    <t>Distance</t>
  </si>
  <si>
    <t>Time (Seconds)</t>
  </si>
  <si>
    <t xml:space="preserve">Task </t>
  </si>
  <si>
    <t>Decision</t>
  </si>
  <si>
    <t>Connector</t>
  </si>
  <si>
    <t>Direction of Flow</t>
  </si>
  <si>
    <t>Wait Time</t>
  </si>
  <si>
    <t>form intent: Document Process Steps/Highlight motion and waiting</t>
  </si>
  <si>
    <t>Potential Effect(s) of Failure</t>
  </si>
  <si>
    <t>Potential Cause(s) / Mechanism</t>
  </si>
  <si>
    <t>Detect.</t>
  </si>
  <si>
    <t>Occur</t>
  </si>
  <si>
    <t>Sev</t>
  </si>
  <si>
    <t>Detect</t>
  </si>
  <si>
    <t>Critical  to Quality   CtQ</t>
  </si>
  <si>
    <t xml:space="preserve">SUPPLIER </t>
  </si>
  <si>
    <t>DEVELOPMENT</t>
  </si>
  <si>
    <t>Part Name</t>
  </si>
  <si>
    <t>Change Description</t>
  </si>
  <si>
    <t>ANY ITEMS NOT REQUIRED, PLEASE EXPLAIN:</t>
  </si>
  <si>
    <t>Req'd</t>
  </si>
  <si>
    <t>PPAP Requirement Check List</t>
  </si>
  <si>
    <t>X</t>
  </si>
  <si>
    <t>GAGE REPEATABILITY AND REPRODUCIBILITY REPORT</t>
  </si>
  <si>
    <t>ATTRIBUTE ANALYTICAL METHOD</t>
  </si>
  <si>
    <t>Part Number</t>
  </si>
  <si>
    <t>Gage Name</t>
  </si>
  <si>
    <t>Appraiser</t>
  </si>
  <si>
    <t>Gage Number</t>
  </si>
  <si>
    <t>Date Performed</t>
  </si>
  <si>
    <t>Characteristic</t>
  </si>
  <si>
    <t>Gage Type</t>
  </si>
  <si>
    <t>Upper Limit</t>
  </si>
  <si>
    <t>Lower Limit</t>
  </si>
  <si>
    <t>ATTRIBUTE DATA</t>
  </si>
  <si>
    <r>
      <t>X</t>
    </r>
    <r>
      <rPr>
        <vertAlign val="subscript"/>
        <sz val="10"/>
        <rFont val="Arial"/>
        <family val="2"/>
      </rPr>
      <t>T</t>
    </r>
  </si>
  <si>
    <t>a</t>
  </si>
  <si>
    <r>
      <t>P'</t>
    </r>
    <r>
      <rPr>
        <vertAlign val="subscript"/>
        <sz val="10"/>
        <rFont val="Arial"/>
        <family val="2"/>
      </rPr>
      <t>a</t>
    </r>
  </si>
  <si>
    <t>After entering data, follow the directions on the tab marked</t>
  </si>
  <si>
    <t>'Graph' to create the Gage Performance Curve</t>
  </si>
  <si>
    <t>FROM THE GRAPH</t>
  </si>
  <si>
    <t>ENTER THE FOLLOWING:</t>
  </si>
  <si>
    <r>
      <t>X</t>
    </r>
    <r>
      <rPr>
        <vertAlign val="subscript"/>
        <sz val="10"/>
        <rFont val="Arial"/>
        <family val="2"/>
      </rPr>
      <t>T</t>
    </r>
    <r>
      <rPr>
        <sz val="10"/>
        <rFont val="Arial"/>
      </rPr>
      <t xml:space="preserve"> (P=.5) =</t>
    </r>
  </si>
  <si>
    <r>
      <t>X</t>
    </r>
    <r>
      <rPr>
        <vertAlign val="subscript"/>
        <sz val="10"/>
        <rFont val="Arial"/>
        <family val="2"/>
      </rPr>
      <t xml:space="preserve">T </t>
    </r>
    <r>
      <rPr>
        <sz val="10"/>
        <rFont val="Arial"/>
      </rPr>
      <t>(P=.995) =</t>
    </r>
  </si>
  <si>
    <r>
      <t>X</t>
    </r>
    <r>
      <rPr>
        <vertAlign val="subscript"/>
        <sz val="10"/>
        <rFont val="Arial"/>
        <family val="2"/>
      </rPr>
      <t xml:space="preserve">T </t>
    </r>
    <r>
      <rPr>
        <sz val="10"/>
        <rFont val="Arial"/>
      </rPr>
      <t>(P=.005) =</t>
    </r>
  </si>
  <si>
    <t>Measurement Unit Analysis</t>
  </si>
  <si>
    <t xml:space="preserve">  Bias</t>
  </si>
  <si>
    <t xml:space="preserve">  Repeatability</t>
  </si>
  <si>
    <t>B</t>
  </si>
  <si>
    <t>=</t>
  </si>
  <si>
    <t>R</t>
  </si>
  <si>
    <t xml:space="preserve">  t Statistic</t>
  </si>
  <si>
    <t>t</t>
  </si>
  <si>
    <t>31.3 IBI / R</t>
  </si>
  <si>
    <r>
      <t>t</t>
    </r>
    <r>
      <rPr>
        <vertAlign val="subscript"/>
        <sz val="10"/>
        <rFont val="Arial"/>
        <family val="2"/>
      </rPr>
      <t>0.025,19</t>
    </r>
  </si>
  <si>
    <t xml:space="preserve">  Result</t>
  </si>
  <si>
    <t>Reviewed</t>
  </si>
  <si>
    <t>Title</t>
  </si>
  <si>
    <t>Directions for Gage Performance Curve for Attribute Analytical Method Form</t>
  </si>
  <si>
    <t>1)  Click Tools - Data Analysis - Regression</t>
  </si>
  <si>
    <t xml:space="preserve">     (If Data Analysis is not available load Analysis Tool Pak from the Add-Ins menu)</t>
  </si>
  <si>
    <t>2)  In the box for Input Y Range select the cells GR&amp;R ATT(L)!D14:D22</t>
  </si>
  <si>
    <t>3)  In the box for Input X Range select the cells GR&amp;R ATT(L)!B14:B22</t>
  </si>
  <si>
    <t>4)  In the box for Output range select the cells below A23:M60</t>
  </si>
  <si>
    <t>5)  Check Line Fit Plots</t>
  </si>
  <si>
    <t>6)  Press OK</t>
  </si>
  <si>
    <t>7)  Copy the Line Fit plot graph to the space on the Analytic sheet</t>
  </si>
  <si>
    <t>8)  Change the graph title to Gage Performance Curve</t>
  </si>
  <si>
    <t>9)  Change the x axis to Xt</t>
  </si>
  <si>
    <t>10)  Change the y axis to Probability</t>
  </si>
  <si>
    <t>ATTRIBUTE RISK METHOD</t>
  </si>
  <si>
    <t>Appraiser A</t>
  </si>
  <si>
    <t>Appraiser B</t>
  </si>
  <si>
    <t>Upper Specification</t>
  </si>
  <si>
    <t>Lower Specification</t>
  </si>
  <si>
    <t>Appraiser C</t>
  </si>
  <si>
    <t>DATA TABLE</t>
  </si>
  <si>
    <t>AB Tabulation</t>
  </si>
  <si>
    <t>BC Tabulation</t>
  </si>
  <si>
    <t>AC Tabulation</t>
  </si>
  <si>
    <t>PART</t>
  </si>
  <si>
    <t>A-1</t>
  </si>
  <si>
    <t>A-2</t>
  </si>
  <si>
    <t>A-3</t>
  </si>
  <si>
    <t>B-1</t>
  </si>
  <si>
    <t>B-2</t>
  </si>
  <si>
    <t>B-3</t>
  </si>
  <si>
    <t>C-1</t>
  </si>
  <si>
    <t>C-2</t>
  </si>
  <si>
    <t>C-3</t>
  </si>
  <si>
    <t>Reference</t>
  </si>
  <si>
    <t>Reference Value</t>
  </si>
  <si>
    <t>Code</t>
  </si>
  <si>
    <t>DATA TABLE CONTINUED</t>
  </si>
  <si>
    <t>Risk Analysis</t>
  </si>
  <si>
    <t>A * B Crosstabulation</t>
  </si>
  <si>
    <t>Total</t>
  </si>
  <si>
    <t>A</t>
  </si>
  <si>
    <t>Count</t>
  </si>
  <si>
    <t>Expected Count</t>
  </si>
  <si>
    <t>B * C Crosstabulation</t>
  </si>
  <si>
    <t>C</t>
  </si>
  <si>
    <t>A * C Crosstabulation</t>
  </si>
  <si>
    <t xml:space="preserve">                              GAGE REPEATABILITY AND REPRODUCIBILITY REPORT</t>
  </si>
  <si>
    <t xml:space="preserve">                    ATTRIBUTE RISK METHOD</t>
  </si>
  <si>
    <t xml:space="preserve">    1)</t>
  </si>
  <si>
    <t>USE THE " GAGE R &amp; R BLANK " FORM FOR ANY NEW GAGE R &amp; R STUDIES. A sample Gage R &amp; R analysis is</t>
  </si>
  <si>
    <t xml:space="preserve">               </t>
  </si>
  <si>
    <t>provided in the work sheet folder " Sample Gage R &amp; R ". SAVE THE FILE UNDER DIFFERENT NAME BEFORE USING.</t>
  </si>
  <si>
    <t xml:space="preserve">    2)</t>
  </si>
  <si>
    <t xml:space="preserve">All other cells are protected. </t>
  </si>
  <si>
    <t xml:space="preserve">    3)</t>
  </si>
  <si>
    <t>This Gage R &amp; R Study is designed for Variable Gages and uses Average &amp; Range Method for the Analysis. The method</t>
  </si>
  <si>
    <t xml:space="preserve">              </t>
  </si>
  <si>
    <t>normal distribution with 99.5% of area under normal curve ( or 5.15 standard deviation spread ).</t>
  </si>
  <si>
    <t xml:space="preserve">    4)</t>
  </si>
  <si>
    <r>
      <t xml:space="preserve">Identify the Gage and Parts to be used for the Gage R &amp; R Study and </t>
    </r>
    <r>
      <rPr>
        <b/>
        <sz val="10"/>
        <color indexed="12"/>
        <rFont val="Arial"/>
        <family val="2"/>
      </rPr>
      <t>ensure that the Gage used for study has a valid</t>
    </r>
  </si>
  <si>
    <t xml:space="preserve">             </t>
  </si>
  <si>
    <r>
      <t>calibration</t>
    </r>
    <r>
      <rPr>
        <b/>
        <sz val="10"/>
        <rFont val="Arial"/>
        <family val="2"/>
      </rPr>
      <t xml:space="preserve"> ( Actual Production Parts should be used instead of Gage Blocks - </t>
    </r>
    <r>
      <rPr>
        <b/>
        <sz val="10"/>
        <color indexed="12"/>
        <rFont val="Arial"/>
        <family val="2"/>
      </rPr>
      <t xml:space="preserve">Only 1 Gage must be used and the </t>
    </r>
  </si>
  <si>
    <t>number of Parts must be from 5 to 10 ).</t>
  </si>
  <si>
    <t xml:space="preserve">    5)</t>
  </si>
  <si>
    <t>Identify the Appraisers to be used for this study ( must have either 2 or 3 Appraisers - Enter their names in the</t>
  </si>
  <si>
    <t>Parenthesis area provided on the work sheet )</t>
  </si>
  <si>
    <t xml:space="preserve">    6)</t>
  </si>
  <si>
    <t>Determine the number of measurements to be made by each Appraiser ( Each Appraiser will use the same gage for</t>
  </si>
  <si>
    <t>measuring the selected parts )</t>
  </si>
  <si>
    <t xml:space="preserve">    7)</t>
  </si>
  <si>
    <t>Enter in the appropriate spaces at the top of Gage R &amp; R work sheet, information on : " Part Number &amp; Name ";</t>
  </si>
  <si>
    <t xml:space="preserve">            </t>
  </si>
  <si>
    <t>" Characteristics "  to be checked; " Specification Limits " for the part under study; " Gage Name, Number &amp; Type ",</t>
  </si>
  <si>
    <t>" Date " this study was conducted, and the Name of the person who  " Performed " data collection / analysis.</t>
  </si>
  <si>
    <t xml:space="preserve">           </t>
  </si>
  <si>
    <t xml:space="preserve">    8)</t>
  </si>
  <si>
    <t>Repeat the measurements for the same parts one or two more times as determined in Step 6 above and record the</t>
  </si>
  <si>
    <t xml:space="preserve">    9)</t>
  </si>
  <si>
    <t>Repeat Step 8 for Appraiser 2 and 3 as applicable.</t>
  </si>
  <si>
    <t xml:space="preserve">   10)</t>
  </si>
  <si>
    <r>
      <t>correct set of data entered</t>
    </r>
    <r>
      <rPr>
        <b/>
        <sz val="10"/>
        <rFont val="Arial"/>
        <family val="2"/>
      </rPr>
      <t>. If the data set is not correct ( or forgot to enter data values ), results will not be returned.</t>
    </r>
  </si>
  <si>
    <t xml:space="preserve">   11)</t>
  </si>
  <si>
    <t>Parts</t>
  </si>
  <si>
    <t>Gage R&amp;R Instruction Sheet</t>
  </si>
  <si>
    <t>Performance Test Results</t>
  </si>
  <si>
    <t>OK</t>
  </si>
  <si>
    <t>Dimensional Results</t>
  </si>
  <si>
    <t xml:space="preserve">Production Part Approval </t>
  </si>
  <si>
    <t>Material Test Results</t>
  </si>
  <si>
    <t>Signature</t>
  </si>
  <si>
    <t>CAPACITY EVALUATION and R@R</t>
  </si>
  <si>
    <t>To be used to evaluate capacity of a work center, process, product line, or a plant</t>
  </si>
  <si>
    <t>Supplier Code:</t>
  </si>
  <si>
    <t/>
  </si>
  <si>
    <t>(Production data needs to be within the last 30 days)</t>
  </si>
  <si>
    <r>
      <t xml:space="preserve">Number of machines or operators </t>
    </r>
    <r>
      <rPr>
        <sz val="8"/>
        <rFont val="Arial"/>
        <family val="2"/>
      </rPr>
      <t>(use the constraint)</t>
    </r>
  </si>
  <si>
    <t>Machine</t>
  </si>
  <si>
    <t>Process Description</t>
  </si>
  <si>
    <t>Number of shifts in a workday:</t>
  </si>
  <si>
    <r>
      <t xml:space="preserve">Number of hours in a shift </t>
    </r>
    <r>
      <rPr>
        <sz val="8"/>
        <rFont val="Arial"/>
        <family val="2"/>
      </rPr>
      <t>(excluding breaks, etc):</t>
    </r>
  </si>
  <si>
    <t>Number of days in the sample</t>
  </si>
  <si>
    <t>Current Production Requirements / Day</t>
  </si>
  <si>
    <r>
      <t xml:space="preserve">Total Hours Available </t>
    </r>
    <r>
      <rPr>
        <sz val="8"/>
        <rFont val="Arial"/>
        <family val="2"/>
      </rPr>
      <t>(Labor Hrs or Machine Hrs depending on the constraint)</t>
    </r>
  </si>
  <si>
    <t>Total Hours Available / Day</t>
  </si>
  <si>
    <t>Number of Machines / People working</t>
  </si>
  <si>
    <t>Daily Actual Hours Worked</t>
  </si>
  <si>
    <t>Downtime (hours)</t>
  </si>
  <si>
    <t>Number of overtime hours</t>
  </si>
  <si>
    <t>Daily Hrs Worked to Produce Parts</t>
  </si>
  <si>
    <r>
      <t>Utilization (</t>
    </r>
    <r>
      <rPr>
        <sz val="8"/>
        <rFont val="Arial"/>
        <family val="2"/>
      </rPr>
      <t>without overtime</t>
    </r>
    <r>
      <rPr>
        <sz val="10"/>
        <rFont val="Arial"/>
      </rPr>
      <t>)</t>
    </r>
  </si>
  <si>
    <r>
      <t>Utilization (</t>
    </r>
    <r>
      <rPr>
        <sz val="8"/>
        <rFont val="Arial"/>
        <family val="2"/>
      </rPr>
      <t>with overtime</t>
    </r>
    <r>
      <rPr>
        <sz val="10"/>
        <rFont val="Arial"/>
      </rPr>
      <t>)</t>
    </r>
  </si>
  <si>
    <t xml:space="preserve">Downtime % </t>
  </si>
  <si>
    <t>Overtime %</t>
  </si>
  <si>
    <t xml:space="preserve">Number of units produced (including scrap and rework) </t>
  </si>
  <si>
    <t>Number of scrap or rework units produced:</t>
  </si>
  <si>
    <t>Scrap / Rework %</t>
  </si>
  <si>
    <t>Average Units / Hour Worked</t>
  </si>
  <si>
    <t>Average Units / Minute Worked</t>
  </si>
  <si>
    <t>Minutes / Part</t>
  </si>
  <si>
    <t>Standard Hours / Part</t>
  </si>
  <si>
    <t>Standard Hours Produced</t>
  </si>
  <si>
    <t>Efficiency</t>
  </si>
  <si>
    <t>THEORETICAL CAPACITY / DAY (UNITS) =</t>
  </si>
  <si>
    <t>DEMONSTRATED CAPACITY / DAY (UNITS) =</t>
  </si>
  <si>
    <t>RATED CAPACITY / DAY (UNITS) =</t>
  </si>
  <si>
    <t>Current Daily Demand in Units :</t>
  </si>
  <si>
    <t>Sufficient Capacity ?</t>
  </si>
  <si>
    <t>% of Rated Capacity Used</t>
  </si>
  <si>
    <t>Additional Business</t>
  </si>
  <si>
    <t>Additional daily units</t>
  </si>
  <si>
    <t>Daily demand</t>
  </si>
  <si>
    <t>Revised Daily Demand with scrap/rework</t>
  </si>
  <si>
    <t>Add An Additional Shift/Resources</t>
  </si>
  <si>
    <t>Number of additional people or machines added (use whatever the constraint is: people or machine)</t>
  </si>
  <si>
    <t>Number of additional shifts</t>
  </si>
  <si>
    <t>Number of extra hours in a shift</t>
  </si>
  <si>
    <t>Number of extra discrete hours</t>
  </si>
  <si>
    <t>Revised Hours Available</t>
  </si>
  <si>
    <t>Revised Rated Capacity Units / Day</t>
  </si>
  <si>
    <t>or hours</t>
  </si>
  <si>
    <t>% of Rated Capacity Loaded</t>
  </si>
  <si>
    <t>Initials</t>
  </si>
  <si>
    <t>Part Submission Warrant</t>
  </si>
  <si>
    <t>Engineering Drawing Change Level</t>
  </si>
  <si>
    <t>Dated</t>
  </si>
  <si>
    <t>Additional Engineering Changes</t>
  </si>
  <si>
    <t>Shown on Drawing Number</t>
  </si>
  <si>
    <t>Purchase Order No.</t>
  </si>
  <si>
    <t>Weight (kg)</t>
  </si>
  <si>
    <t>Checking Aid Number</t>
  </si>
  <si>
    <t>Engineering Change Level</t>
  </si>
  <si>
    <t>SUBMISSION INFORMATION</t>
  </si>
  <si>
    <t>Customer Name/Division</t>
  </si>
  <si>
    <t>Street Address</t>
  </si>
  <si>
    <t>City</t>
  </si>
  <si>
    <t>Application</t>
  </si>
  <si>
    <t>Note:</t>
  </si>
  <si>
    <t>Does this part contain any restricted or reportable substances?</t>
  </si>
  <si>
    <t>Are plastic parts identified with appropriate ISO marking codes?</t>
  </si>
  <si>
    <t>Initial submission</t>
  </si>
  <si>
    <t>Change to Optional Construction or Material</t>
  </si>
  <si>
    <t>Engineering Change(s)</t>
  </si>
  <si>
    <t>Sub-Supplier or Material Source Change</t>
  </si>
  <si>
    <t>Change in Part Processing</t>
  </si>
  <si>
    <t>Correction of Discrepancy</t>
  </si>
  <si>
    <t>Parts produced at Additional Location</t>
  </si>
  <si>
    <t>Tooling inactive &gt; than 1 year</t>
  </si>
  <si>
    <t>Level 1 - Warrant only (and for designated appearance items, an Appearance Approval Report) submitted to customer.</t>
  </si>
  <si>
    <t>Level 2 - Warrant with product samples and limited supporting data submitted to customer.</t>
  </si>
  <si>
    <t>Level 3 - Warrant with product samples and complete supporting data submitted to customer.</t>
  </si>
  <si>
    <t>Level 4 - Warrant and other requirements as defined by customer.</t>
  </si>
  <si>
    <t>Level 5 - Warrant with product samples and complete supporting data reviewed at supplier's manufacturing location.</t>
  </si>
  <si>
    <t>DECLARATION</t>
  </si>
  <si>
    <t>I affirm that the samples represented by this warrant are representative of our parts and have been made to the applicable customer</t>
  </si>
  <si>
    <t>drawings and specifications and are made from specified materials on regular production tooling with no operations other than the regular</t>
  </si>
  <si>
    <t>production process.  I also certify that documented evidence of such compliance is on file and available for review.</t>
  </si>
  <si>
    <t>EXPLANATION/COMMENTS:</t>
  </si>
  <si>
    <t>Print Name</t>
  </si>
  <si>
    <t>Part Warrant Disposition:</t>
  </si>
  <si>
    <t>Customer Signature</t>
  </si>
  <si>
    <t>Current Process Controls Prvention</t>
  </si>
  <si>
    <t>Current Process Controls Detection</t>
  </si>
  <si>
    <t xml:space="preserve">       PPAP WORK BOOK</t>
  </si>
  <si>
    <t>1.</t>
  </si>
  <si>
    <t>Design Record</t>
  </si>
  <si>
    <t>2.</t>
  </si>
  <si>
    <t>Authorized Engineering Change documents</t>
  </si>
  <si>
    <t>3.</t>
  </si>
  <si>
    <t>Customer Engineering Approval</t>
  </si>
  <si>
    <t>4.</t>
  </si>
  <si>
    <t>Design FMEA</t>
  </si>
  <si>
    <t>5.</t>
  </si>
  <si>
    <t>Process Flow Diagram(s)</t>
  </si>
  <si>
    <t>6.</t>
  </si>
  <si>
    <t>Process FMEA</t>
  </si>
  <si>
    <t>7.</t>
  </si>
  <si>
    <t>8.</t>
  </si>
  <si>
    <t>Measurement System Analysis Studies</t>
  </si>
  <si>
    <t>9.</t>
  </si>
  <si>
    <t>10.</t>
  </si>
  <si>
    <t>11.</t>
  </si>
  <si>
    <t>Records of Material / Performance Test Results</t>
  </si>
  <si>
    <t>Initial Process Studies</t>
  </si>
  <si>
    <t>12.</t>
  </si>
  <si>
    <t>Qualified Laboratory Documentation</t>
  </si>
  <si>
    <t>13.</t>
  </si>
  <si>
    <t>Appearance Approval Report</t>
  </si>
  <si>
    <t>14.</t>
  </si>
  <si>
    <t>Sample Production Parts</t>
  </si>
  <si>
    <t>15.</t>
  </si>
  <si>
    <t>Master Sample</t>
  </si>
  <si>
    <t>16.</t>
  </si>
  <si>
    <t>Checking Aids</t>
  </si>
  <si>
    <t>17.</t>
  </si>
  <si>
    <t>Customer-Specific requirements</t>
  </si>
  <si>
    <t>18.</t>
  </si>
  <si>
    <t>FMEA Date (Original):</t>
  </si>
  <si>
    <t xml:space="preserve">Revised:  </t>
  </si>
  <si>
    <t>Supplier Plant:</t>
  </si>
  <si>
    <t>Model Year(s)/Vehicle(s):</t>
  </si>
  <si>
    <t>POTENTIAL</t>
  </si>
  <si>
    <t>FAILURE MODE AND EFFECTS ANALYSIS</t>
  </si>
  <si>
    <t>(PROCESS FMEA)</t>
  </si>
  <si>
    <t>CONTROL PLAN</t>
  </si>
  <si>
    <t>Control Plan Number</t>
  </si>
  <si>
    <t>Part Number / Latest Change level</t>
  </si>
  <si>
    <t>Part Name / Description</t>
  </si>
  <si>
    <t>Key Contact / Phone</t>
  </si>
  <si>
    <t>Supplier / Plant Approval / Date</t>
  </si>
  <si>
    <t>Date (Original)</t>
  </si>
  <si>
    <t>Date (Revised)</t>
  </si>
  <si>
    <t>Tool PO Number</t>
  </si>
  <si>
    <t>Rev.</t>
  </si>
  <si>
    <t xml:space="preserve">Customer Part Number  </t>
  </si>
  <si>
    <t>If applicable</t>
  </si>
  <si>
    <t>ORGANIZATION MANUFACTURING INFORMATION</t>
  </si>
  <si>
    <t>Organization Name and Code</t>
  </si>
  <si>
    <t>Customer Contact</t>
  </si>
  <si>
    <t>REASON FOR SUBMISSION (check at least one)</t>
  </si>
  <si>
    <t>Tooling: Transfer, Replacement, Refurbishment, or Additional</t>
  </si>
  <si>
    <t>Other - please specify below</t>
  </si>
  <si>
    <t>SUBMISSION LEVEL (Check one)</t>
  </si>
  <si>
    <t>(check)</t>
  </si>
  <si>
    <t>List Molds / Cavities / Production Processes</t>
  </si>
  <si>
    <t>Organization Authorized Signature</t>
  </si>
  <si>
    <t xml:space="preserve">Phone No.  </t>
  </si>
  <si>
    <t xml:space="preserve">Fax  </t>
  </si>
  <si>
    <t xml:space="preserve">E-mail  </t>
  </si>
  <si>
    <t>FOR CUSTOMER USE ONLY</t>
  </si>
  <si>
    <t xml:space="preserve">Date  </t>
  </si>
  <si>
    <t>March</t>
  </si>
  <si>
    <t>THE-1001</t>
  </si>
  <si>
    <t>Comment:</t>
  </si>
  <si>
    <t>Truck Industry</t>
  </si>
  <si>
    <t>Dimensional Test Results</t>
  </si>
  <si>
    <t>ITEM</t>
  </si>
  <si>
    <t>SPECIFICATION / LIMITS</t>
  </si>
  <si>
    <t>TEST DATE</t>
  </si>
  <si>
    <t>QTY. TESTED</t>
  </si>
  <si>
    <t>ORGANIZATION MEASUREMENT RESULTS (DATA)</t>
  </si>
  <si>
    <t>ORGANIZATION:</t>
  </si>
  <si>
    <t>SUPPLIER/VENDOR CODE:</t>
  </si>
  <si>
    <t>INSPECTION FACILITY:</t>
  </si>
  <si>
    <t>PART NUMBER:</t>
  </si>
  <si>
    <t>DESIGN RECORD CHANGE LEVEL:</t>
  </si>
  <si>
    <t>PART NAME:</t>
  </si>
  <si>
    <t>ENGINEERING CHANGE DOCUMENTS:</t>
  </si>
  <si>
    <t>Blanket statements of conformance are unacceptable for any test results.</t>
  </si>
  <si>
    <t>CFG-1003</t>
  </si>
  <si>
    <t>*CUSTOMER SPECIFIED SUPPLIER/VENDOR CODE:</t>
  </si>
  <si>
    <t>*  If source approval is req'd, include the Supplier (Source) &amp; Customer assigned code.</t>
  </si>
  <si>
    <t>NAME of LABORATORY:</t>
  </si>
  <si>
    <t>MATERIAL SPEC. NO. / REV / DATE</t>
  </si>
  <si>
    <t>NOT OK</t>
  </si>
  <si>
    <t>CFG-1004</t>
  </si>
  <si>
    <t>TEST SPECIFICATION / REV / DATE</t>
  </si>
  <si>
    <t>SUPPLIER TEST RESULTS (DATA)</t>
  </si>
  <si>
    <t>SUPPLIER TEST RESULTS (DATA) / TEST CONDITIONS</t>
  </si>
  <si>
    <t>CFG-1005</t>
  </si>
  <si>
    <t>Severity Evaluation Criteria</t>
  </si>
  <si>
    <t>Occurrence Evaluation Criteria</t>
  </si>
  <si>
    <t>≥ 1.50</t>
  </si>
  <si>
    <t>Detection Evaluation Criteria</t>
  </si>
  <si>
    <t>10  Hazardous - Without warning</t>
  </si>
  <si>
    <t xml:space="preserve">  9  Hazardous - With warning</t>
  </si>
  <si>
    <t xml:space="preserve">  8  Very High</t>
  </si>
  <si>
    <t xml:space="preserve">  7  High</t>
  </si>
  <si>
    <t xml:space="preserve">  6  Moderate</t>
  </si>
  <si>
    <t xml:space="preserve">  5  Low</t>
  </si>
  <si>
    <t xml:space="preserve">  4  Very Low</t>
  </si>
  <si>
    <t xml:space="preserve">  3  Minor</t>
  </si>
  <si>
    <t xml:space="preserve">  2  Very Minor</t>
  </si>
  <si>
    <t xml:space="preserve">  1  None</t>
  </si>
  <si>
    <t>10  Very High:  Persistent Failures</t>
  </si>
  <si>
    <t xml:space="preserve">  9  Very High:  Persistent Failures</t>
  </si>
  <si>
    <t xml:space="preserve">  8  High:  Frequent Failures</t>
  </si>
  <si>
    <t xml:space="preserve">  7  High:  Frequent Failures</t>
  </si>
  <si>
    <t xml:space="preserve">  6  Moderate:  Occasional Failures</t>
  </si>
  <si>
    <t xml:space="preserve">  5  Moderate:  Occasional Failures</t>
  </si>
  <si>
    <t xml:space="preserve">  4  Moderate:  Occasional Failures</t>
  </si>
  <si>
    <t xml:space="preserve">  3  Low:  Relatively Few Failures</t>
  </si>
  <si>
    <t xml:space="preserve">  2  Low:  Relatively Few Failures</t>
  </si>
  <si>
    <t xml:space="preserve">  1  Remote:  Failure is Unlikely</t>
  </si>
  <si>
    <t>10      ≤ -0.33</t>
  </si>
  <si>
    <t xml:space="preserve">  9         -0.17</t>
  </si>
  <si>
    <t xml:space="preserve">  8          0.00</t>
  </si>
  <si>
    <t xml:space="preserve">  7          0.17</t>
  </si>
  <si>
    <t xml:space="preserve">  6          0.33</t>
  </si>
  <si>
    <t xml:space="preserve">  5          0.50</t>
  </si>
  <si>
    <t xml:space="preserve">  4          0.67</t>
  </si>
  <si>
    <t xml:space="preserve">  3          0.83</t>
  </si>
  <si>
    <t xml:space="preserve">  2          1.17</t>
  </si>
  <si>
    <t xml:space="preserve">  1       ≥ 1.50</t>
  </si>
  <si>
    <t>10  Manual Inspection:  Cannot detect or is not checked.</t>
  </si>
  <si>
    <t xml:space="preserve">  8  Manual Inspection:  Visual inspection only.</t>
  </si>
  <si>
    <t xml:space="preserve">  9  Manual Inspection:  Indirect or Random checks only.</t>
  </si>
  <si>
    <t xml:space="preserve">  7  Manual Inspection:  Double Visual inspection only.</t>
  </si>
  <si>
    <t xml:space="preserve">  6  Manual Inspection/Gauging:  Use of charting methods, such as SPC.</t>
  </si>
  <si>
    <t xml:space="preserve">  1  Error-proofed:  Discrepant parts cannot be made, error-proofed by process/product design.</t>
  </si>
  <si>
    <t xml:space="preserve">  5  Gauging:  Variable gauging at next station or 100% Go/No-Go gauging at next station.</t>
  </si>
  <si>
    <t xml:space="preserve">  4  Error-proofing/Gauging:  Error detection in next station, or gauging check on setup/first-piece.</t>
  </si>
  <si>
    <t xml:space="preserve">  3  Error-proofing/Gauging:  Error detection in-station, or in next stations using multiple layers.</t>
  </si>
  <si>
    <t xml:space="preserve">  2  Error-proofing/Gauging:  Error detection in-station (automatic gauging with auto stop feature.</t>
  </si>
  <si>
    <t>DIMENSION &amp; TOLERANCE / SPECIFICATION</t>
  </si>
  <si>
    <t>TEST DATE:</t>
  </si>
  <si>
    <t>SUPPLIER:</t>
  </si>
  <si>
    <t>CUSTOMER MEASUREMENT RESULTS</t>
  </si>
  <si>
    <t>Blanket statements of conformance are unacceptable for any test results</t>
  </si>
  <si>
    <t>NAME OF LABORATORY:</t>
  </si>
  <si>
    <t>Required.  The Drawing or Specification provided to you to manufacure the part, ballooned.</t>
  </si>
  <si>
    <t>Only if you offer any changes to the Drawing or Specification.</t>
  </si>
  <si>
    <t>Only if design responsible.</t>
  </si>
  <si>
    <t>Required.</t>
  </si>
  <si>
    <t>Required.  Either a copy of your Control Plan, or a copy of your Work Instruction for manufacturing the product.</t>
  </si>
  <si>
    <t>Required.  Material Certification that the material meets the Specifications, and test results of any performance requirements.</t>
  </si>
  <si>
    <t>Only if the Drawing or Specification notes any appearance requirements.</t>
  </si>
  <si>
    <t>Required.  Minimum 3 pieces, or as directed by the plant.</t>
  </si>
  <si>
    <t>Only if any additional requirements from us or the end customer.</t>
  </si>
  <si>
    <t>Only if there are any changes to the Drawing or Specifcation provided to you by us.</t>
  </si>
  <si>
    <t>Only if any Key Characteristics are noted on the Drawing, Specification, or by CVG.</t>
  </si>
  <si>
    <t>Required.  Minimum 3 piece dimensional layout, or as directed by the plant.</t>
  </si>
  <si>
    <t>Kept at your facility.</t>
  </si>
  <si>
    <t>Only if any templates, fixtures, jigs, etc. are used to inspect parts to ensure that they are maintained.</t>
  </si>
  <si>
    <t xml:space="preserve">            PPM*           CP*           CpK*</t>
  </si>
  <si>
    <t>10     ≥864,095        ≤0.17        ≤-0.33</t>
  </si>
  <si>
    <t xml:space="preserve">  9      697,672          0.33          -0.17</t>
  </si>
  <si>
    <t xml:space="preserve">  8      501,350          0.50           0.00</t>
  </si>
  <si>
    <t xml:space="preserve">  7      308,770          0.67           0.17</t>
  </si>
  <si>
    <t xml:space="preserve">  6      158,687          0.83           0.33</t>
  </si>
  <si>
    <t xml:space="preserve">  5        66,811          1.00           0.50</t>
  </si>
  <si>
    <t xml:space="preserve">  4        22,750          1.17           0.67</t>
  </si>
  <si>
    <t xml:space="preserve">  3          6,210          1.33           0.83</t>
  </si>
  <si>
    <t xml:space="preserve">  2             233          1.67           1.17</t>
  </si>
  <si>
    <t xml:space="preserve">  1          ≤3.40         ≥2.00         ≥1.50</t>
  </si>
  <si>
    <t>*  With a ±1.5 sigma shift</t>
  </si>
  <si>
    <t>GAGE REPEATABILITY AND REPRODUCIBILITY DATA SHEET</t>
  </si>
  <si>
    <t>VARIABLE DATA RESULTS</t>
  </si>
  <si>
    <t>THICKNESS GAUGE</t>
  </si>
  <si>
    <t>Specification</t>
  </si>
  <si>
    <t>THICKNESS</t>
  </si>
  <si>
    <t>Dial</t>
  </si>
  <si>
    <t>Characteristic Classification</t>
  </si>
  <si>
    <t>Trials</t>
  </si>
  <si>
    <t>Appraisers</t>
  </si>
  <si>
    <t>APPRAISER/</t>
  </si>
  <si>
    <t>AVERAGE</t>
  </si>
  <si>
    <t>% Tolerance (Tol)</t>
  </si>
  <si>
    <t>TRIAL #</t>
  </si>
  <si>
    <t xml:space="preserve">  Repeatability - Equipment Variation (EV)</t>
  </si>
  <si>
    <t>1.  A</t>
  </si>
  <si>
    <t>EV</t>
  </si>
  <si>
    <r>
      <t>R</t>
    </r>
    <r>
      <rPr>
        <sz val="10"/>
        <rFont val="Arial"/>
      </rPr>
      <t xml:space="preserve">  x  K</t>
    </r>
    <r>
      <rPr>
        <vertAlign val="subscript"/>
        <sz val="10"/>
        <rFont val="Arial"/>
        <family val="2"/>
      </rPr>
      <t>1</t>
    </r>
  </si>
  <si>
    <t>K1</t>
  </si>
  <si>
    <t>% EV</t>
  </si>
  <si>
    <t>100 (EV/Tol)</t>
  </si>
  <si>
    <t>AVE</t>
  </si>
  <si>
    <r>
      <t>x</t>
    </r>
    <r>
      <rPr>
        <vertAlign val="subscript"/>
        <sz val="10"/>
        <rFont val="Arial"/>
        <family val="2"/>
      </rPr>
      <t>a</t>
    </r>
    <r>
      <rPr>
        <sz val="10"/>
        <rFont val="Arial"/>
      </rPr>
      <t>=</t>
    </r>
  </si>
  <si>
    <t xml:space="preserve">  Reproducibility - Appraiser Variation (AV)</t>
  </si>
  <si>
    <r>
      <t>r</t>
    </r>
    <r>
      <rPr>
        <vertAlign val="subscript"/>
        <sz val="10"/>
        <rFont val="Arial"/>
        <family val="2"/>
      </rPr>
      <t>a</t>
    </r>
    <r>
      <rPr>
        <sz val="10"/>
        <rFont val="Arial"/>
      </rPr>
      <t>=</t>
    </r>
  </si>
  <si>
    <t>AV</t>
  </si>
  <si>
    <r>
      <t>{(</t>
    </r>
    <r>
      <rPr>
        <sz val="12"/>
        <rFont val="Statistical Symbols"/>
      </rPr>
      <t>x</t>
    </r>
    <r>
      <rPr>
        <vertAlign val="subscript"/>
        <sz val="10"/>
        <rFont val="Arial"/>
        <family val="2"/>
      </rPr>
      <t>DIFF</t>
    </r>
    <r>
      <rPr>
        <sz val="10"/>
        <rFont val="Arial"/>
      </rPr>
      <t xml:space="preserve"> x K</t>
    </r>
    <r>
      <rPr>
        <vertAlign val="subscript"/>
        <sz val="10"/>
        <rFont val="Arial"/>
        <family val="2"/>
      </rPr>
      <t>2</t>
    </r>
    <r>
      <rPr>
        <sz val="10"/>
        <rFont val="Arial"/>
      </rPr>
      <t>)</t>
    </r>
    <r>
      <rPr>
        <vertAlign val="superscript"/>
        <sz val="10"/>
        <rFont val="Arial"/>
        <family val="2"/>
      </rPr>
      <t>2</t>
    </r>
    <r>
      <rPr>
        <sz val="10"/>
        <rFont val="Arial"/>
      </rPr>
      <t xml:space="preserve"> - (EV</t>
    </r>
    <r>
      <rPr>
        <vertAlign val="superscript"/>
        <sz val="10"/>
        <rFont val="Arial"/>
        <family val="2"/>
      </rPr>
      <t>2</t>
    </r>
    <r>
      <rPr>
        <sz val="10"/>
        <rFont val="Arial"/>
      </rPr>
      <t>/nr)}</t>
    </r>
    <r>
      <rPr>
        <vertAlign val="superscript"/>
        <sz val="10"/>
        <rFont val="Arial"/>
        <family val="2"/>
      </rPr>
      <t>1/2</t>
    </r>
  </si>
  <si>
    <t>% AV</t>
  </si>
  <si>
    <t>100 (AV/Tol)</t>
  </si>
  <si>
    <t>6.  B</t>
  </si>
  <si>
    <t>``</t>
  </si>
  <si>
    <r>
      <t>K</t>
    </r>
    <r>
      <rPr>
        <vertAlign val="subscript"/>
        <sz val="10"/>
        <rFont val="Arial"/>
        <family val="2"/>
      </rPr>
      <t>2</t>
    </r>
  </si>
  <si>
    <t xml:space="preserve">   n = number of parts</t>
  </si>
  <si>
    <r>
      <t>x</t>
    </r>
    <r>
      <rPr>
        <vertAlign val="subscript"/>
        <sz val="10"/>
        <rFont val="Arial"/>
        <family val="2"/>
      </rPr>
      <t>b</t>
    </r>
    <r>
      <rPr>
        <sz val="10"/>
        <rFont val="Arial"/>
      </rPr>
      <t>=</t>
    </r>
  </si>
  <si>
    <t xml:space="preserve">  Repeatability &amp; Reproducibility (R &amp; R)</t>
  </si>
  <si>
    <t xml:space="preserve">   r = number of trials</t>
  </si>
  <si>
    <r>
      <t>r</t>
    </r>
    <r>
      <rPr>
        <vertAlign val="subscript"/>
        <sz val="10"/>
        <rFont val="Arial"/>
        <family val="2"/>
      </rPr>
      <t>b</t>
    </r>
    <r>
      <rPr>
        <sz val="10"/>
        <rFont val="Arial"/>
      </rPr>
      <t>=</t>
    </r>
  </si>
  <si>
    <t>R &amp; R</t>
  </si>
  <si>
    <r>
      <t>{(EV</t>
    </r>
    <r>
      <rPr>
        <vertAlign val="superscript"/>
        <sz val="10"/>
        <rFont val="Arial"/>
        <family val="2"/>
      </rPr>
      <t>2</t>
    </r>
    <r>
      <rPr>
        <sz val="10"/>
        <rFont val="Arial"/>
      </rPr>
      <t xml:space="preserve"> + AV</t>
    </r>
    <r>
      <rPr>
        <vertAlign val="superscript"/>
        <sz val="10"/>
        <rFont val="Arial"/>
        <family val="2"/>
      </rPr>
      <t>2</t>
    </r>
    <r>
      <rPr>
        <sz val="10"/>
        <rFont val="Arial"/>
      </rPr>
      <t>)}</t>
    </r>
    <r>
      <rPr>
        <vertAlign val="superscript"/>
        <sz val="10"/>
        <rFont val="Arial"/>
        <family val="2"/>
      </rPr>
      <t>1/2</t>
    </r>
  </si>
  <si>
    <r>
      <t>K</t>
    </r>
    <r>
      <rPr>
        <b/>
        <vertAlign val="subscript"/>
        <sz val="10"/>
        <rFont val="Arial"/>
        <family val="2"/>
      </rPr>
      <t>3</t>
    </r>
  </si>
  <si>
    <t>11.  C</t>
  </si>
  <si>
    <t>% R&amp;R</t>
  </si>
  <si>
    <t>100 (R&amp;R/Tol)</t>
  </si>
  <si>
    <t xml:space="preserve">  Part Variation (PV)</t>
  </si>
  <si>
    <r>
      <t>x</t>
    </r>
    <r>
      <rPr>
        <vertAlign val="subscript"/>
        <sz val="10"/>
        <rFont val="Arial"/>
        <family val="2"/>
      </rPr>
      <t>c</t>
    </r>
    <r>
      <rPr>
        <sz val="10"/>
        <rFont val="Arial"/>
      </rPr>
      <t>=</t>
    </r>
  </si>
  <si>
    <t>PV</t>
  </si>
  <si>
    <r>
      <t>R</t>
    </r>
    <r>
      <rPr>
        <vertAlign val="subscript"/>
        <sz val="10"/>
        <rFont val="Arial"/>
        <family val="2"/>
      </rPr>
      <t>P</t>
    </r>
    <r>
      <rPr>
        <sz val="10"/>
        <rFont val="Arial"/>
      </rPr>
      <t xml:space="preserve"> x K</t>
    </r>
    <r>
      <rPr>
        <vertAlign val="subscript"/>
        <sz val="10"/>
        <rFont val="Arial"/>
        <family val="2"/>
      </rPr>
      <t>3</t>
    </r>
  </si>
  <si>
    <r>
      <t>r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>=</t>
    </r>
  </si>
  <si>
    <t xml:space="preserve">16. PART </t>
  </si>
  <si>
    <r>
      <t>X</t>
    </r>
    <r>
      <rPr>
        <sz val="10"/>
        <rFont val="Arial"/>
      </rPr>
      <t>=</t>
    </r>
  </si>
  <si>
    <t>% PV</t>
  </si>
  <si>
    <t>100 (PV/Tol)</t>
  </si>
  <si>
    <t xml:space="preserve">     AVE ( Xp )</t>
  </si>
  <si>
    <r>
      <t>R</t>
    </r>
    <r>
      <rPr>
        <vertAlign val="subscript"/>
        <sz val="10"/>
        <rFont val="Arial"/>
        <family val="2"/>
      </rPr>
      <t>p</t>
    </r>
    <r>
      <rPr>
        <sz val="10"/>
        <rFont val="Arial"/>
      </rPr>
      <t>=</t>
    </r>
  </si>
  <si>
    <r>
      <t>(</t>
    </r>
    <r>
      <rPr>
        <sz val="12"/>
        <rFont val="Statistical Symbols"/>
      </rPr>
      <t>r</t>
    </r>
    <r>
      <rPr>
        <vertAlign val="subscript"/>
        <sz val="10"/>
        <rFont val="Arial"/>
        <family val="2"/>
      </rPr>
      <t>a</t>
    </r>
    <r>
      <rPr>
        <sz val="10"/>
        <rFont val="Arial"/>
      </rPr>
      <t xml:space="preserve"> + </t>
    </r>
    <r>
      <rPr>
        <sz val="12"/>
        <rFont val="Statistical Symbols"/>
      </rPr>
      <t>r</t>
    </r>
    <r>
      <rPr>
        <vertAlign val="subscript"/>
        <sz val="10"/>
        <rFont val="Arial"/>
        <family val="2"/>
      </rPr>
      <t>b</t>
    </r>
    <r>
      <rPr>
        <sz val="10"/>
        <rFont val="Arial"/>
      </rPr>
      <t xml:space="preserve"> + </t>
    </r>
    <r>
      <rPr>
        <sz val="12"/>
        <rFont val="Statistical Symbols"/>
      </rPr>
      <t>r</t>
    </r>
    <r>
      <rPr>
        <vertAlign val="subscript"/>
        <sz val="10"/>
        <rFont val="Arial"/>
        <family val="2"/>
      </rPr>
      <t>c</t>
    </r>
    <r>
      <rPr>
        <sz val="10"/>
        <rFont val="Arial"/>
      </rPr>
      <t>) / (# OF APPRAISERS) =</t>
    </r>
  </si>
  <si>
    <r>
      <t>R</t>
    </r>
    <r>
      <rPr>
        <sz val="10"/>
        <rFont val="Arial"/>
      </rPr>
      <t>=</t>
    </r>
  </si>
  <si>
    <t>Tol</t>
  </si>
  <si>
    <t>Upper - Lower</t>
  </si>
  <si>
    <r>
      <t xml:space="preserve">(Max </t>
    </r>
    <r>
      <rPr>
        <sz val="12"/>
        <rFont val="Statistical Symbols"/>
      </rPr>
      <t>x</t>
    </r>
    <r>
      <rPr>
        <sz val="10"/>
        <rFont val="Arial"/>
      </rPr>
      <t xml:space="preserve"> - Min </t>
    </r>
    <r>
      <rPr>
        <sz val="12"/>
        <rFont val="Statistical Symbols"/>
      </rPr>
      <t>x</t>
    </r>
    <r>
      <rPr>
        <sz val="10"/>
        <rFont val="Arial"/>
      </rPr>
      <t>) =</t>
    </r>
  </si>
  <si>
    <r>
      <t>x</t>
    </r>
    <r>
      <rPr>
        <vertAlign val="subscript"/>
        <sz val="10"/>
        <rFont val="Arial"/>
        <family val="2"/>
      </rPr>
      <t>DIFF</t>
    </r>
    <r>
      <rPr>
        <sz val="10"/>
        <rFont val="Arial"/>
      </rPr>
      <t>=</t>
    </r>
  </si>
  <si>
    <r>
      <t>R</t>
    </r>
    <r>
      <rPr>
        <sz val="10"/>
        <rFont val="Arial"/>
      </rPr>
      <t xml:space="preserve"> x D</t>
    </r>
    <r>
      <rPr>
        <vertAlign val="subscript"/>
        <sz val="10"/>
        <rFont val="Arial"/>
        <family val="2"/>
      </rPr>
      <t>4</t>
    </r>
    <r>
      <rPr>
        <sz val="10"/>
        <rFont val="Arial"/>
      </rPr>
      <t>* =</t>
    </r>
  </si>
  <si>
    <r>
      <t>UCL</t>
    </r>
    <r>
      <rPr>
        <vertAlign val="subscript"/>
        <sz val="10"/>
        <rFont val="Arial"/>
        <family val="2"/>
      </rPr>
      <t>R</t>
    </r>
    <r>
      <rPr>
        <sz val="10"/>
        <rFont val="Arial"/>
      </rPr>
      <t>=</t>
    </r>
  </si>
  <si>
    <r>
      <t>R</t>
    </r>
    <r>
      <rPr>
        <sz val="10"/>
        <rFont val="Arial"/>
      </rPr>
      <t xml:space="preserve"> x D</t>
    </r>
    <r>
      <rPr>
        <vertAlign val="subscript"/>
        <sz val="10"/>
        <rFont val="Arial"/>
        <family val="2"/>
      </rPr>
      <t>3</t>
    </r>
    <r>
      <rPr>
        <sz val="10"/>
        <rFont val="Arial"/>
      </rPr>
      <t>* =</t>
    </r>
  </si>
  <si>
    <r>
      <t>LCL</t>
    </r>
    <r>
      <rPr>
        <vertAlign val="subscript"/>
        <sz val="10"/>
        <rFont val="Arial"/>
        <family val="2"/>
      </rPr>
      <t>R</t>
    </r>
    <r>
      <rPr>
        <sz val="10"/>
        <rFont val="Arial"/>
      </rPr>
      <t>=</t>
    </r>
  </si>
  <si>
    <t>All calculations are based upon predicting 5.15 sigma (99.0% of the area under the normal distribution curve).</t>
  </si>
  <si>
    <r>
      <t>* D</t>
    </r>
    <r>
      <rPr>
        <vertAlign val="subscript"/>
        <sz val="8"/>
        <rFont val="Arial"/>
        <family val="2"/>
      </rPr>
      <t>4</t>
    </r>
    <r>
      <rPr>
        <sz val="8"/>
        <rFont val="Arial"/>
        <family val="2"/>
      </rPr>
      <t xml:space="preserve"> =3.27 for 2 trials and 2.58 for 3 trials;  D</t>
    </r>
    <r>
      <rPr>
        <vertAlign val="subscript"/>
        <sz val="8"/>
        <rFont val="Arial"/>
        <family val="2"/>
      </rPr>
      <t>3</t>
    </r>
    <r>
      <rPr>
        <sz val="8"/>
        <rFont val="Arial"/>
        <family val="2"/>
      </rPr>
      <t xml:space="preserve"> = 0 for up to 7 trials.  UCL</t>
    </r>
    <r>
      <rPr>
        <vertAlign val="subscript"/>
        <sz val="8"/>
        <rFont val="Arial"/>
        <family val="2"/>
      </rPr>
      <t>R</t>
    </r>
    <r>
      <rPr>
        <sz val="8"/>
        <rFont val="Arial"/>
        <family val="2"/>
      </rPr>
      <t xml:space="preserve"> represents the limit of individual R's.  Circle those that are</t>
    </r>
  </si>
  <si>
    <r>
      <t>K</t>
    </r>
    <r>
      <rPr>
        <vertAlign val="subscript"/>
        <sz val="8"/>
        <rFont val="Arial"/>
        <family val="2"/>
      </rPr>
      <t>1</t>
    </r>
    <r>
      <rPr>
        <sz val="8"/>
        <rFont val="Arial"/>
        <family val="2"/>
      </rPr>
      <t xml:space="preserve"> is 5.15/d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, where d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 xml:space="preserve"> is dependent on the number of trials (m) and the number if parts times the number of operators (g) which is</t>
    </r>
  </si>
  <si>
    <t>beyond this limit.  Identify the cause and correct.  Repeat these readings using the same appraiser and unit as originally used or dis-</t>
  </si>
  <si>
    <t>assumed to be greater than 15.</t>
  </si>
  <si>
    <t>card values and re-average and recompute R and the limiting value from the remaining observations.</t>
  </si>
  <si>
    <t>AV - If a negative value is calculated under the square root sign, the appraiser variation (AV) defaults to zero (0).</t>
  </si>
  <si>
    <r>
      <t>K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 xml:space="preserve"> is 5.15/d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, where d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 xml:space="preserve"> is dependent on the number of operators (m) and (g) is 1, since there is only one range calculation.</t>
    </r>
  </si>
  <si>
    <t>Notes:</t>
  </si>
  <si>
    <r>
      <t>K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 xml:space="preserve"> is 5.15/d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, where d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 xml:space="preserve"> is dependent on the number of parts (m) and (g) is 1, since there is only one range calculation.</t>
    </r>
  </si>
  <si>
    <r>
      <t>d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 xml:space="preserve"> is obtained from Table D</t>
    </r>
    <r>
      <rPr>
        <vertAlign val="subscript"/>
        <sz val="8"/>
        <rFont val="Arial"/>
        <family val="2"/>
      </rPr>
      <t>3</t>
    </r>
    <r>
      <rPr>
        <sz val="8"/>
        <rFont val="Arial"/>
        <family val="2"/>
      </rPr>
      <t>, "Quality Control and Industrial Statistics", A.J. Duncan.</t>
    </r>
  </si>
  <si>
    <t>Gage Name:</t>
  </si>
  <si>
    <t>Gage Number:</t>
  </si>
  <si>
    <t>Gage Type:</t>
  </si>
  <si>
    <t>12345-001</t>
  </si>
  <si>
    <t>THUMBSCREW</t>
  </si>
  <si>
    <t>DIMENSION</t>
  </si>
  <si>
    <t>ABCD001</t>
  </si>
  <si>
    <t>Mr. Smith</t>
  </si>
  <si>
    <t>Mrs. Jones</t>
  </si>
  <si>
    <t>Mr. Knowitall</t>
  </si>
  <si>
    <r>
      <t>K</t>
    </r>
    <r>
      <rPr>
        <b/>
        <vertAlign val="subscript"/>
        <sz val="10"/>
        <rFont val="Arial"/>
        <family val="2"/>
      </rPr>
      <t>1</t>
    </r>
  </si>
  <si>
    <t xml:space="preserve">Data can be entered in the light yellow shaded cells only. </t>
  </si>
  <si>
    <t xml:space="preserve">is based on the AIAG - Measurement System Analysis Guidelines ( 3rd Ed. - Mar 2002 - Page # 111 to 117 ) and assumes </t>
  </si>
  <si>
    <t>Gage R &amp; R will be calculated based on Equipment Variation ( EV ), Part Variation ( PV ), and Appraiser Variation ( AV )</t>
  </si>
  <si>
    <t>during the study.</t>
  </si>
  <si>
    <t>Have Appraiser # 1 measure the selected parts - ( Min. 5 &amp; Max. 10 ) and record the measurements in the row 1.</t>
  </si>
  <si>
    <r>
      <t xml:space="preserve">data in rows 2 and 3 ( as appropriate ). </t>
    </r>
    <r>
      <rPr>
        <b/>
        <sz val="10"/>
        <color indexed="48"/>
        <rFont val="Arial"/>
        <family val="2"/>
      </rPr>
      <t>This spreadsheet accepts positive as well as negative numbers.</t>
    </r>
  </si>
  <si>
    <r>
      <t>The Spread Sheet will automatically calculate and return the values and study results</t>
    </r>
    <r>
      <rPr>
        <b/>
        <sz val="10"/>
        <rFont val="Arial"/>
        <family val="2"/>
      </rPr>
      <t xml:space="preserve"> for the</t>
    </r>
  </si>
  <si>
    <t>( Some error messages such as " ERR " or " #Value! " or " #### " or " Blank Cells " might be displayed )</t>
  </si>
  <si>
    <t>The % Gage R &amp; R result interpretation uses the % Tolerance values.</t>
  </si>
  <si>
    <t>Revision:</t>
  </si>
  <si>
    <t xml:space="preserve">Supplier Name:  </t>
  </si>
  <si>
    <t xml:space="preserve">Address:  </t>
  </si>
  <si>
    <t xml:space="preserve">State:  </t>
  </si>
  <si>
    <t xml:space="preserve">Zip:  </t>
  </si>
  <si>
    <t xml:space="preserve">State or Country:  </t>
  </si>
  <si>
    <t xml:space="preserve">Submitted by:  </t>
  </si>
  <si>
    <t xml:space="preserve">E-mail:  </t>
  </si>
  <si>
    <t xml:space="preserve">Individual Phone Number:  </t>
  </si>
  <si>
    <t xml:space="preserve">Part Name:  </t>
  </si>
  <si>
    <t xml:space="preserve">Part Number - Rev.:  </t>
  </si>
  <si>
    <t>Mfg. Location:</t>
  </si>
  <si>
    <t xml:space="preserve">  1      2</t>
  </si>
  <si>
    <t xml:space="preserve">  3      4</t>
  </si>
  <si>
    <t xml:space="preserve">  5      6</t>
  </si>
  <si>
    <t xml:space="preserve">  7      8</t>
  </si>
  <si>
    <t xml:space="preserve">  9     10</t>
  </si>
  <si>
    <t xml:space="preserve"> 11    12</t>
  </si>
  <si>
    <t xml:space="preserve"> 13    14</t>
  </si>
  <si>
    <t xml:space="preserve"> 15    16</t>
  </si>
  <si>
    <t xml:space="preserve"> 17    18</t>
  </si>
  <si>
    <t>WHAT IF SCENARIOS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</si>
</sst>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(* #,##0.00_);_(* \(#,##0.00\);_(* &quot;-&quot;??_);_(@_)"/>
    <numFmt numFmtId="164" formatCode="0."/>
    <numFmt numFmtId="165" formatCode="0.000"/>
    <numFmt numFmtId="166" formatCode="0.0000"/>
    <numFmt numFmtId="173" formatCode="0000"/>
    <numFmt numFmtId="174" formatCode="0.00000"/>
    <numFmt numFmtId="175" formatCode="_(* #,##0_);_(* \(#,##0\);_(* &quot;-&quot;??_);_(@_)"/>
    <numFmt numFmtId="176" formatCode="0.0"/>
    <numFmt numFmtId="177" formatCode="0.0%"/>
    <numFmt numFmtId="178" formatCode="mm/dd/yy;@"/>
    <numFmt numFmtId="179" formatCode="#,##0.0"/>
    <numFmt numFmtId="181" formatCode="m/d/yyyy;@"/>
    <numFmt numFmtId="183" formatCode="[&lt;=9999999]###\-####;\(###\)\ ###\-####"/>
  </numFmts>
  <fonts count="70">
    <font>
      <sz val="10"/>
      <name val="Arial"/>
    </font>
    <font>
      <b/>
      <sz val="10"/>
      <name val="Arial"/>
    </font>
    <font>
      <i/>
      <sz val="10"/>
      <name val="Arial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8"/>
      <name val="Arial"/>
    </font>
    <font>
      <sz val="9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sz val="8"/>
      <name val="Arial"/>
    </font>
    <font>
      <sz val="28"/>
      <name val="Times New Roman"/>
      <family val="1"/>
    </font>
    <font>
      <b/>
      <sz val="28"/>
      <color indexed="8"/>
      <name val="Arial"/>
      <family val="2"/>
    </font>
    <font>
      <u/>
      <sz val="10"/>
      <color indexed="12"/>
      <name val="Arial"/>
    </font>
    <font>
      <b/>
      <sz val="10"/>
      <name val="Arial"/>
      <family val="2"/>
    </font>
    <font>
      <i/>
      <sz val="16"/>
      <color indexed="10"/>
      <name val="Impact"/>
      <family val="2"/>
    </font>
    <font>
      <i/>
      <sz val="7"/>
      <name val="Arial"/>
      <family val="2"/>
    </font>
    <font>
      <vertAlign val="superscript"/>
      <sz val="10"/>
      <name val="Arial"/>
    </font>
    <font>
      <b/>
      <sz val="9"/>
      <name val="Arial"/>
      <family val="2"/>
    </font>
    <font>
      <b/>
      <sz val="8"/>
      <name val="Helv"/>
    </font>
    <font>
      <b/>
      <sz val="12"/>
      <name val="Arial"/>
      <family val="2"/>
    </font>
    <font>
      <sz val="7"/>
      <name val="Arial"/>
    </font>
    <font>
      <b/>
      <sz val="14"/>
      <name val="Arial"/>
      <family val="2"/>
    </font>
    <font>
      <sz val="8"/>
      <name val="Tahoma"/>
      <family val="2"/>
    </font>
    <font>
      <sz val="10"/>
      <color indexed="12"/>
      <name val="Arial"/>
    </font>
    <font>
      <b/>
      <sz val="36"/>
      <name val="Arial Narrow"/>
      <family val="2"/>
    </font>
    <font>
      <b/>
      <sz val="10"/>
      <name val="Arial Narrow"/>
      <family val="2"/>
    </font>
    <font>
      <b/>
      <sz val="11"/>
      <name val="Arial Narrow"/>
      <family val="2"/>
    </font>
    <font>
      <b/>
      <sz val="8"/>
      <name val="Arial Narrow"/>
      <family val="2"/>
    </font>
    <font>
      <b/>
      <sz val="6"/>
      <color indexed="48"/>
      <name val="Arial Narrow"/>
      <family val="2"/>
    </font>
    <font>
      <b/>
      <sz val="10"/>
      <color indexed="12"/>
      <name val="Arial"/>
      <family val="2"/>
    </font>
    <font>
      <sz val="26"/>
      <color indexed="8"/>
      <name val="Arial"/>
      <family val="2"/>
    </font>
    <font>
      <sz val="10"/>
      <name val="Times New Roman"/>
      <family val="1"/>
    </font>
    <font>
      <b/>
      <sz val="14"/>
      <name val="Times New Roman"/>
      <family val="1"/>
    </font>
    <font>
      <sz val="12"/>
      <name val="Times New Roman"/>
      <family val="1"/>
    </font>
    <font>
      <b/>
      <sz val="16"/>
      <name val="Times New Roman"/>
      <family val="1"/>
    </font>
    <font>
      <b/>
      <sz val="16"/>
      <name val="Arial"/>
    </font>
    <font>
      <b/>
      <sz val="14"/>
      <name val="Arial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2"/>
      <name val="Arial"/>
      <family val="2"/>
    </font>
    <font>
      <sz val="8"/>
      <color indexed="12"/>
      <name val="Arial"/>
      <family val="2"/>
    </font>
    <font>
      <sz val="16"/>
      <name val="Arial"/>
      <family val="2"/>
    </font>
    <font>
      <b/>
      <sz val="10"/>
      <color indexed="48"/>
      <name val="Arial"/>
      <family val="2"/>
    </font>
    <font>
      <sz val="7"/>
      <name val="Arial"/>
      <family val="2"/>
    </font>
    <font>
      <sz val="11"/>
      <name val="Arial"/>
      <family val="2"/>
    </font>
    <font>
      <sz val="6"/>
      <name val="Arial"/>
      <family val="2"/>
    </font>
    <font>
      <sz val="8"/>
      <color indexed="81"/>
      <name val="Tahoma"/>
      <charset val="1"/>
    </font>
    <font>
      <b/>
      <sz val="8"/>
      <color indexed="81"/>
      <name val="Tahoma"/>
    </font>
    <font>
      <sz val="8"/>
      <color indexed="81"/>
      <name val="Tahoma"/>
    </font>
    <font>
      <sz val="8"/>
      <color indexed="81"/>
      <name val="Tahoma"/>
      <family val="2"/>
    </font>
    <font>
      <b/>
      <sz val="18"/>
      <name val="Arial"/>
      <family val="2"/>
    </font>
    <font>
      <sz val="28"/>
      <color indexed="8"/>
      <name val="Arial"/>
      <family val="2"/>
    </font>
    <font>
      <b/>
      <i/>
      <sz val="10"/>
      <name val="Arial"/>
      <family val="2"/>
    </font>
    <font>
      <sz val="6"/>
      <name val="Arial"/>
    </font>
    <font>
      <u/>
      <sz val="8"/>
      <name val="Arial"/>
    </font>
    <font>
      <u/>
      <sz val="10"/>
      <name val="Arial"/>
    </font>
    <font>
      <sz val="10"/>
      <color indexed="8"/>
      <name val="Times New Roman"/>
      <family val="1"/>
    </font>
    <font>
      <sz val="10"/>
      <color indexed="10"/>
      <name val="Times New Roman"/>
      <family val="1"/>
    </font>
    <font>
      <u/>
      <sz val="9"/>
      <color indexed="16"/>
      <name val="Arial"/>
      <family val="2"/>
    </font>
    <font>
      <sz val="10"/>
      <color indexed="10"/>
      <name val="Arial"/>
      <family val="2"/>
    </font>
    <font>
      <b/>
      <sz val="12"/>
      <name val="Arial"/>
    </font>
    <font>
      <sz val="12"/>
      <name val="Statistical Symbols"/>
    </font>
    <font>
      <vertAlign val="superscript"/>
      <sz val="10"/>
      <name val="Arial"/>
      <family val="2"/>
    </font>
    <font>
      <b/>
      <sz val="6"/>
      <name val="Small Fonts"/>
      <family val="2"/>
    </font>
    <font>
      <b/>
      <vertAlign val="subscript"/>
      <sz val="10"/>
      <name val="Arial"/>
      <family val="2"/>
    </font>
    <font>
      <vertAlign val="subscript"/>
      <sz val="8"/>
      <name val="Arial"/>
      <family val="2"/>
    </font>
    <font>
      <u/>
      <sz val="12"/>
      <name val="Times New Roman"/>
      <family val="1"/>
    </font>
    <font>
      <sz val="10"/>
      <color indexed="48"/>
      <name val="Arial Narrow"/>
      <family val="2"/>
    </font>
    <font>
      <b/>
      <sz val="10"/>
      <color indexed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2"/>
        <bgColor indexed="64"/>
      </patternFill>
    </fill>
  </fills>
  <borders count="148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8"/>
      </bottom>
      <diagonal/>
    </border>
    <border>
      <left/>
      <right/>
      <top style="thin">
        <color indexed="64"/>
      </top>
      <bottom style="hair">
        <color indexed="8"/>
      </bottom>
      <diagonal/>
    </border>
    <border>
      <left/>
      <right style="double">
        <color indexed="64"/>
      </right>
      <top style="thin">
        <color indexed="64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8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8"/>
      </top>
      <bottom/>
      <diagonal/>
    </border>
    <border>
      <left/>
      <right style="double">
        <color indexed="64"/>
      </right>
      <top style="hair">
        <color indexed="8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0" fontId="13" fillId="0" borderId="0" applyNumberFormat="0" applyFill="0" applyBorder="0" applyAlignment="0" applyProtection="0">
      <alignment vertical="top"/>
      <protection locked="0"/>
    </xf>
    <xf numFmtId="0" fontId="3" fillId="0" borderId="0"/>
    <xf numFmtId="9" fontId="3" fillId="0" borderId="0" applyFont="0" applyFill="0" applyBorder="0" applyAlignment="0" applyProtection="0"/>
  </cellStyleXfs>
  <cellXfs count="996">
    <xf numFmtId="0" fontId="0" fillId="0" borderId="0" xfId="0"/>
    <xf numFmtId="0" fontId="0" fillId="0" borderId="0" xfId="0" applyBorder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Continuous"/>
    </xf>
    <xf numFmtId="0" fontId="11" fillId="0" borderId="0" xfId="0" applyFont="1" applyAlignment="1">
      <alignment horizontal="centerContinuous"/>
    </xf>
    <xf numFmtId="0" fontId="12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0" fontId="15" fillId="0" borderId="1" xfId="3" applyFont="1" applyBorder="1" applyAlignment="1">
      <alignment horizontal="centerContinuous" vertical="center"/>
    </xf>
    <xf numFmtId="0" fontId="15" fillId="0" borderId="2" xfId="3" applyFont="1" applyBorder="1" applyAlignment="1">
      <alignment horizontal="centerContinuous" vertical="center"/>
    </xf>
    <xf numFmtId="0" fontId="15" fillId="0" borderId="3" xfId="3" applyFont="1" applyBorder="1" applyAlignment="1">
      <alignment horizontal="centerContinuous" vertical="center"/>
    </xf>
    <xf numFmtId="0" fontId="16" fillId="0" borderId="4" xfId="3" applyFont="1" applyBorder="1" applyAlignment="1">
      <alignment horizontal="centerContinuous"/>
    </xf>
    <xf numFmtId="0" fontId="15" fillId="0" borderId="5" xfId="3" applyFont="1" applyBorder="1" applyAlignment="1">
      <alignment horizontal="centerContinuous" vertical="top"/>
    </xf>
    <xf numFmtId="0" fontId="15" fillId="0" borderId="6" xfId="3" applyFont="1" applyBorder="1" applyAlignment="1">
      <alignment horizontal="centerContinuous" vertical="top"/>
    </xf>
    <xf numFmtId="0" fontId="15" fillId="0" borderId="7" xfId="3" applyFont="1" applyBorder="1" applyAlignment="1">
      <alignment horizontal="centerContinuous" vertical="top"/>
    </xf>
    <xf numFmtId="0" fontId="4" fillId="0" borderId="8" xfId="3" applyFont="1" applyBorder="1"/>
    <xf numFmtId="0" fontId="4" fillId="0" borderId="9" xfId="3" applyFont="1" applyBorder="1"/>
    <xf numFmtId="0" fontId="4" fillId="0" borderId="10" xfId="3" applyFont="1" applyBorder="1"/>
    <xf numFmtId="0" fontId="17" fillId="0" borderId="1" xfId="3" applyFont="1" applyBorder="1" applyAlignment="1">
      <alignment horizontal="left" vertical="top"/>
    </xf>
    <xf numFmtId="0" fontId="17" fillId="0" borderId="2" xfId="3" applyFont="1" applyBorder="1" applyAlignment="1">
      <alignment horizontal="left" vertical="top"/>
    </xf>
    <xf numFmtId="0" fontId="17" fillId="0" borderId="11" xfId="3" applyFont="1" applyBorder="1" applyAlignment="1">
      <alignment horizontal="left" vertical="top"/>
    </xf>
    <xf numFmtId="0" fontId="17" fillId="0" borderId="12" xfId="3" applyFont="1" applyBorder="1" applyAlignment="1">
      <alignment horizontal="left" vertical="top"/>
    </xf>
    <xf numFmtId="0" fontId="17" fillId="0" borderId="13" xfId="3" applyFont="1" applyBorder="1" applyAlignment="1">
      <alignment horizontal="left" vertical="top"/>
    </xf>
    <xf numFmtId="0" fontId="17" fillId="0" borderId="14" xfId="3" applyFont="1" applyBorder="1" applyAlignment="1">
      <alignment horizontal="left" vertical="top"/>
    </xf>
    <xf numFmtId="1" fontId="14" fillId="0" borderId="15" xfId="3" applyNumberFormat="1" applyFont="1" applyBorder="1" applyAlignment="1" applyProtection="1">
      <alignment horizontal="center"/>
      <protection locked="0"/>
    </xf>
    <xf numFmtId="0" fontId="17" fillId="0" borderId="16" xfId="3" applyFont="1" applyBorder="1" applyAlignment="1" applyProtection="1">
      <alignment horizontal="left" vertical="top"/>
    </xf>
    <xf numFmtId="0" fontId="17" fillId="0" borderId="17" xfId="3" applyFont="1" applyBorder="1" applyAlignment="1">
      <alignment horizontal="left" vertical="top"/>
    </xf>
    <xf numFmtId="0" fontId="17" fillId="0" borderId="18" xfId="3" applyFont="1" applyBorder="1" applyAlignment="1">
      <alignment horizontal="left" vertical="top"/>
    </xf>
    <xf numFmtId="0" fontId="17" fillId="0" borderId="19" xfId="3" applyFont="1" applyBorder="1" applyAlignment="1">
      <alignment horizontal="left" vertical="top"/>
    </xf>
    <xf numFmtId="0" fontId="17" fillId="0" borderId="20" xfId="3" applyFont="1" applyBorder="1" applyAlignment="1">
      <alignment horizontal="left" vertical="top"/>
    </xf>
    <xf numFmtId="0" fontId="17" fillId="0" borderId="18" xfId="3" applyFont="1" applyBorder="1" applyAlignment="1" applyProtection="1">
      <alignment horizontal="left" vertical="top"/>
    </xf>
    <xf numFmtId="14" fontId="17" fillId="0" borderId="20" xfId="3" applyNumberFormat="1" applyFont="1" applyBorder="1" applyAlignment="1">
      <alignment horizontal="left" vertical="top"/>
    </xf>
    <xf numFmtId="0" fontId="17" fillId="0" borderId="21" xfId="3" applyFont="1" applyBorder="1" applyAlignment="1">
      <alignment horizontal="left" vertical="top"/>
    </xf>
    <xf numFmtId="0" fontId="14" fillId="0" borderId="22" xfId="3" applyFont="1" applyBorder="1" applyAlignment="1" applyProtection="1">
      <alignment horizontal="centerContinuous"/>
    </xf>
    <xf numFmtId="0" fontId="8" fillId="0" borderId="15" xfId="3" applyFont="1" applyBorder="1" applyAlignment="1">
      <alignment horizontal="centerContinuous"/>
    </xf>
    <xf numFmtId="0" fontId="8" fillId="0" borderId="23" xfId="3" applyFont="1" applyBorder="1" applyAlignment="1">
      <alignment horizontal="centerContinuous"/>
    </xf>
    <xf numFmtId="0" fontId="1" fillId="0" borderId="24" xfId="3" applyFont="1" applyBorder="1"/>
    <xf numFmtId="0" fontId="14" fillId="0" borderId="25" xfId="3" applyFont="1" applyBorder="1" applyAlignment="1" applyProtection="1">
      <alignment horizontal="right"/>
    </xf>
    <xf numFmtId="0" fontId="8" fillId="0" borderId="23" xfId="3" applyFont="1" applyBorder="1" applyAlignment="1">
      <alignment horizontal="center"/>
    </xf>
    <xf numFmtId="0" fontId="14" fillId="0" borderId="25" xfId="3" applyFont="1" applyBorder="1" applyAlignment="1" applyProtection="1">
      <alignment horizontal="center"/>
    </xf>
    <xf numFmtId="0" fontId="8" fillId="0" borderId="26" xfId="3" applyFont="1" applyBorder="1" applyAlignment="1">
      <alignment horizontal="centerContinuous"/>
    </xf>
    <xf numFmtId="0" fontId="4" fillId="0" borderId="27" xfId="3" applyFont="1" applyBorder="1"/>
    <xf numFmtId="0" fontId="4" fillId="0" borderId="0" xfId="3" applyFont="1" applyBorder="1"/>
    <xf numFmtId="0" fontId="4" fillId="0" borderId="15" xfId="3" applyFont="1" applyBorder="1"/>
    <xf numFmtId="0" fontId="4" fillId="0" borderId="28" xfId="3" applyFont="1" applyBorder="1"/>
    <xf numFmtId="0" fontId="4" fillId="0" borderId="16" xfId="3" applyFont="1" applyBorder="1"/>
    <xf numFmtId="0" fontId="4" fillId="0" borderId="17" xfId="3" applyFont="1" applyBorder="1"/>
    <xf numFmtId="0" fontId="4" fillId="0" borderId="18" xfId="3" applyFont="1" applyBorder="1" applyAlignment="1" applyProtection="1">
      <alignment horizontal="centerContinuous"/>
    </xf>
    <xf numFmtId="0" fontId="4" fillId="0" borderId="29" xfId="3" applyFont="1" applyBorder="1" applyAlignment="1" applyProtection="1">
      <alignment horizontal="centerContinuous"/>
    </xf>
    <xf numFmtId="0" fontId="4" fillId="0" borderId="30" xfId="3" applyFont="1" applyBorder="1" applyAlignment="1">
      <alignment horizontal="centerContinuous"/>
    </xf>
    <xf numFmtId="0" fontId="4" fillId="0" borderId="31" xfId="3" applyFont="1" applyBorder="1" applyAlignment="1" applyProtection="1">
      <alignment horizontal="centerContinuous"/>
    </xf>
    <xf numFmtId="0" fontId="4" fillId="0" borderId="32" xfId="3" applyFont="1" applyBorder="1" applyAlignment="1">
      <alignment horizontal="centerContinuous"/>
    </xf>
    <xf numFmtId="0" fontId="18" fillId="0" borderId="27" xfId="3" applyFont="1" applyBorder="1" applyAlignment="1" applyProtection="1">
      <alignment horizontal="left"/>
    </xf>
    <xf numFmtId="0" fontId="6" fillId="2" borderId="0" xfId="3" applyFont="1" applyFill="1" applyBorder="1" applyAlignment="1" applyProtection="1">
      <alignment horizontal="center" vertical="center"/>
      <protection locked="0"/>
    </xf>
    <xf numFmtId="0" fontId="6" fillId="0" borderId="33" xfId="3" applyFont="1" applyBorder="1" applyAlignment="1">
      <alignment horizontal="right"/>
    </xf>
    <xf numFmtId="49" fontId="5" fillId="0" borderId="34" xfId="3" applyNumberFormat="1" applyFont="1" applyBorder="1" applyAlignment="1" applyProtection="1">
      <alignment horizontal="center"/>
      <protection locked="0"/>
    </xf>
    <xf numFmtId="49" fontId="5" fillId="0" borderId="35" xfId="3" applyNumberFormat="1" applyFont="1" applyBorder="1" applyAlignment="1" applyProtection="1">
      <alignment horizontal="center"/>
      <protection locked="0"/>
    </xf>
    <xf numFmtId="0" fontId="4" fillId="0" borderId="27" xfId="3" applyFont="1" applyBorder="1" applyAlignment="1" applyProtection="1">
      <alignment horizontal="left"/>
    </xf>
    <xf numFmtId="0" fontId="19" fillId="2" borderId="0" xfId="3" applyFont="1" applyFill="1" applyBorder="1" applyAlignment="1" applyProtection="1">
      <alignment horizontal="center" vertical="center"/>
      <protection locked="0"/>
    </xf>
    <xf numFmtId="49" fontId="5" fillId="0" borderId="36" xfId="3" applyNumberFormat="1" applyFont="1" applyBorder="1" applyAlignment="1" applyProtection="1">
      <alignment horizontal="center"/>
      <protection locked="0"/>
    </xf>
    <xf numFmtId="49" fontId="5" fillId="0" borderId="36" xfId="3" quotePrefix="1" applyNumberFormat="1" applyFont="1" applyBorder="1" applyAlignment="1" applyProtection="1">
      <alignment horizontal="center"/>
      <protection locked="0"/>
    </xf>
    <xf numFmtId="0" fontId="6" fillId="0" borderId="0" xfId="3" applyFont="1" applyBorder="1" applyAlignment="1" applyProtection="1">
      <alignment horizontal="center" vertical="center"/>
      <protection locked="0"/>
    </xf>
    <xf numFmtId="0" fontId="6" fillId="0" borderId="0" xfId="3" applyFont="1" applyFill="1" applyBorder="1" applyAlignment="1" applyProtection="1">
      <alignment horizontal="center" vertical="center"/>
      <protection locked="0"/>
    </xf>
    <xf numFmtId="0" fontId="4" fillId="0" borderId="0" xfId="3" applyFont="1" applyBorder="1" applyAlignment="1" applyProtection="1">
      <alignment horizontal="center" vertical="center"/>
      <protection locked="0"/>
    </xf>
    <xf numFmtId="49" fontId="6" fillId="0" borderId="36" xfId="3" applyNumberFormat="1" applyFont="1" applyBorder="1" applyAlignment="1" applyProtection="1">
      <alignment horizontal="center"/>
      <protection locked="0"/>
    </xf>
    <xf numFmtId="0" fontId="4" fillId="0" borderId="22" xfId="3" applyFont="1" applyFill="1" applyBorder="1"/>
    <xf numFmtId="0" fontId="4" fillId="0" borderId="15" xfId="3" applyFont="1" applyFill="1" applyBorder="1"/>
    <xf numFmtId="0" fontId="4" fillId="0" borderId="23" xfId="3" applyFont="1" applyFill="1" applyBorder="1"/>
    <xf numFmtId="0" fontId="4" fillId="0" borderId="37" xfId="3" applyFont="1" applyBorder="1" applyAlignment="1" applyProtection="1">
      <alignment horizontal="center"/>
    </xf>
    <xf numFmtId="0" fontId="4" fillId="0" borderId="38" xfId="3" applyFont="1" applyBorder="1" applyAlignment="1" applyProtection="1">
      <alignment horizontal="center"/>
    </xf>
    <xf numFmtId="0" fontId="4" fillId="0" borderId="39" xfId="3" applyFont="1" applyBorder="1"/>
    <xf numFmtId="0" fontId="4" fillId="0" borderId="40" xfId="3" applyFont="1" applyBorder="1"/>
    <xf numFmtId="0" fontId="4" fillId="0" borderId="41" xfId="3" applyFont="1" applyBorder="1" applyAlignment="1" applyProtection="1">
      <alignment horizontal="centerContinuous"/>
    </xf>
    <xf numFmtId="165" fontId="4" fillId="0" borderId="42" xfId="3" applyNumberFormat="1" applyFont="1" applyBorder="1" applyAlignment="1" applyProtection="1">
      <alignment horizontal="center"/>
      <protection locked="0"/>
    </xf>
    <xf numFmtId="165" fontId="4" fillId="0" borderId="43" xfId="3" applyNumberFormat="1" applyFont="1" applyBorder="1" applyAlignment="1" applyProtection="1">
      <alignment horizontal="center"/>
      <protection locked="0"/>
    </xf>
    <xf numFmtId="0" fontId="4" fillId="0" borderId="1" xfId="3" applyFont="1" applyBorder="1" applyAlignment="1" applyProtection="1">
      <alignment horizontal="left"/>
    </xf>
    <xf numFmtId="0" fontId="4" fillId="0" borderId="2" xfId="3" applyFont="1" applyBorder="1"/>
    <xf numFmtId="0" fontId="4" fillId="0" borderId="11" xfId="3" applyFont="1" applyBorder="1" applyAlignment="1">
      <alignment horizontal="right"/>
    </xf>
    <xf numFmtId="174" fontId="10" fillId="0" borderId="44" xfId="3" applyNumberFormat="1" applyFont="1" applyBorder="1" applyAlignment="1">
      <alignment horizontal="center"/>
    </xf>
    <xf numFmtId="174" fontId="10" fillId="0" borderId="45" xfId="3" applyNumberFormat="1" applyFont="1" applyBorder="1" applyAlignment="1">
      <alignment horizontal="center"/>
    </xf>
    <xf numFmtId="174" fontId="10" fillId="0" borderId="46" xfId="3" applyNumberFormat="1" applyFont="1" applyBorder="1" applyAlignment="1">
      <alignment horizontal="center"/>
    </xf>
    <xf numFmtId="174" fontId="10" fillId="0" borderId="47" xfId="3" applyNumberFormat="1" applyFont="1" applyBorder="1" applyAlignment="1">
      <alignment horizontal="center"/>
    </xf>
    <xf numFmtId="0" fontId="4" fillId="0" borderId="33" xfId="3" applyFont="1" applyBorder="1" applyAlignment="1">
      <alignment horizontal="right"/>
    </xf>
    <xf numFmtId="174" fontId="10" fillId="0" borderId="48" xfId="3" applyNumberFormat="1" applyFont="1" applyBorder="1" applyAlignment="1">
      <alignment horizontal="center"/>
    </xf>
    <xf numFmtId="174" fontId="10" fillId="0" borderId="29" xfId="3" applyNumberFormat="1" applyFont="1" applyBorder="1" applyAlignment="1">
      <alignment horizontal="center"/>
    </xf>
    <xf numFmtId="174" fontId="10" fillId="0" borderId="42" xfId="3" applyNumberFormat="1" applyFont="1" applyBorder="1" applyAlignment="1">
      <alignment horizontal="center"/>
    </xf>
    <xf numFmtId="174" fontId="10" fillId="0" borderId="49" xfId="3" applyNumberFormat="1" applyFont="1" applyBorder="1" applyAlignment="1">
      <alignment horizontal="center"/>
    </xf>
    <xf numFmtId="174" fontId="10" fillId="0" borderId="50" xfId="3" applyNumberFormat="1" applyFont="1" applyBorder="1" applyAlignment="1" applyProtection="1">
      <alignment horizontal="center"/>
      <protection locked="0"/>
    </xf>
    <xf numFmtId="174" fontId="10" fillId="0" borderId="51" xfId="3" applyNumberFormat="1" applyFont="1" applyBorder="1" applyAlignment="1" applyProtection="1">
      <alignment horizontal="center"/>
      <protection locked="0"/>
    </xf>
    <xf numFmtId="174" fontId="10" fillId="0" borderId="52" xfId="3" applyNumberFormat="1" applyFont="1" applyBorder="1" applyAlignment="1" applyProtection="1">
      <alignment horizontal="center"/>
      <protection locked="0"/>
    </xf>
    <xf numFmtId="174" fontId="10" fillId="0" borderId="53" xfId="3" applyNumberFormat="1" applyFont="1" applyBorder="1" applyAlignment="1" applyProtection="1">
      <alignment horizontal="center"/>
      <protection locked="0"/>
    </xf>
    <xf numFmtId="174" fontId="10" fillId="0" borderId="54" xfId="3" applyNumberFormat="1" applyFont="1" applyBorder="1" applyAlignment="1" applyProtection="1">
      <alignment horizontal="center"/>
      <protection locked="0"/>
    </xf>
    <xf numFmtId="174" fontId="10" fillId="0" borderId="55" xfId="3" applyNumberFormat="1" applyFont="1" applyBorder="1" applyAlignment="1" applyProtection="1">
      <alignment horizontal="center"/>
      <protection locked="0"/>
    </xf>
    <xf numFmtId="174" fontId="10" fillId="0" borderId="50" xfId="3" applyNumberFormat="1" applyFont="1" applyBorder="1" applyAlignment="1">
      <alignment horizontal="center"/>
    </xf>
    <xf numFmtId="174" fontId="10" fillId="0" borderId="51" xfId="3" applyNumberFormat="1" applyFont="1" applyBorder="1" applyAlignment="1">
      <alignment horizontal="center"/>
    </xf>
    <xf numFmtId="174" fontId="10" fillId="0" borderId="52" xfId="3" applyNumberFormat="1" applyFont="1" applyBorder="1" applyAlignment="1">
      <alignment horizontal="center"/>
    </xf>
    <xf numFmtId="0" fontId="4" fillId="0" borderId="5" xfId="3" applyFont="1" applyBorder="1" applyAlignment="1" applyProtection="1">
      <alignment horizontal="left"/>
    </xf>
    <xf numFmtId="0" fontId="4" fillId="0" borderId="6" xfId="3" applyFont="1" applyBorder="1"/>
    <xf numFmtId="0" fontId="4" fillId="0" borderId="56" xfId="3" applyFont="1" applyBorder="1" applyAlignment="1">
      <alignment horizontal="right"/>
    </xf>
    <xf numFmtId="174" fontId="10" fillId="0" borderId="53" xfId="3" applyNumberFormat="1" applyFont="1" applyBorder="1" applyAlignment="1">
      <alignment horizontal="center"/>
    </xf>
    <xf numFmtId="174" fontId="10" fillId="0" borderId="54" xfId="3" applyNumberFormat="1" applyFont="1" applyBorder="1" applyAlignment="1">
      <alignment horizontal="center"/>
    </xf>
    <xf numFmtId="174" fontId="10" fillId="0" borderId="55" xfId="3" applyNumberFormat="1" applyFont="1" applyBorder="1" applyAlignment="1">
      <alignment horizontal="center"/>
    </xf>
    <xf numFmtId="0" fontId="10" fillId="0" borderId="0" xfId="0" applyFont="1"/>
    <xf numFmtId="0" fontId="7" fillId="0" borderId="57" xfId="3" applyFont="1" applyBorder="1" applyAlignment="1">
      <alignment horizontal="centerContinuous" vertical="center" wrapText="1"/>
    </xf>
    <xf numFmtId="0" fontId="7" fillId="0" borderId="57" xfId="3" applyFont="1" applyBorder="1" applyAlignment="1">
      <alignment horizontal="centerContinuous" vertical="center"/>
    </xf>
    <xf numFmtId="0" fontId="7" fillId="0" borderId="5" xfId="3" applyFont="1" applyBorder="1" applyAlignment="1">
      <alignment horizontal="centerContinuous" vertical="center"/>
    </xf>
    <xf numFmtId="0" fontId="7" fillId="0" borderId="7" xfId="3" applyFont="1" applyBorder="1" applyAlignment="1">
      <alignment horizontal="centerContinuous" vertical="center"/>
    </xf>
    <xf numFmtId="0" fontId="10" fillId="0" borderId="0" xfId="0" applyFont="1" applyBorder="1"/>
    <xf numFmtId="0" fontId="10" fillId="0" borderId="0" xfId="0" applyFont="1" applyBorder="1" applyAlignment="1"/>
    <xf numFmtId="0" fontId="10" fillId="0" borderId="0" xfId="0" applyFont="1" applyBorder="1" applyAlignment="1">
      <alignment horizontal="left"/>
    </xf>
    <xf numFmtId="0" fontId="4" fillId="0" borderId="58" xfId="0" applyFont="1" applyBorder="1" applyAlignment="1">
      <alignment vertical="center"/>
    </xf>
    <xf numFmtId="0" fontId="4" fillId="0" borderId="58" xfId="0" applyFont="1" applyBorder="1" applyAlignment="1">
      <alignment vertical="center" textRotation="90"/>
    </xf>
    <xf numFmtId="0" fontId="4" fillId="0" borderId="59" xfId="0" applyFont="1" applyBorder="1" applyAlignment="1">
      <alignment vertical="center" textRotation="90"/>
    </xf>
    <xf numFmtId="0" fontId="10" fillId="0" borderId="0" xfId="0" applyFont="1" applyAlignment="1"/>
    <xf numFmtId="0" fontId="0" fillId="0" borderId="0" xfId="0" applyBorder="1" applyAlignment="1">
      <alignment horizontal="centerContinuous"/>
    </xf>
    <xf numFmtId="0" fontId="0" fillId="0" borderId="33" xfId="0" applyBorder="1"/>
    <xf numFmtId="0" fontId="9" fillId="0" borderId="25" xfId="0" applyFont="1" applyBorder="1" applyProtection="1">
      <protection locked="0"/>
    </xf>
    <xf numFmtId="0" fontId="0" fillId="0" borderId="15" xfId="0" applyBorder="1"/>
    <xf numFmtId="0" fontId="0" fillId="0" borderId="23" xfId="0" applyBorder="1"/>
    <xf numFmtId="0" fontId="0" fillId="0" borderId="0" xfId="0" quotePrefix="1" applyFill="1" applyBorder="1"/>
    <xf numFmtId="0" fontId="0" fillId="0" borderId="0" xfId="0" applyFill="1" applyBorder="1"/>
    <xf numFmtId="0" fontId="0" fillId="0" borderId="17" xfId="0" applyBorder="1"/>
    <xf numFmtId="0" fontId="0" fillId="0" borderId="60" xfId="0" applyBorder="1" applyAlignment="1">
      <alignment horizontal="centerContinuous"/>
    </xf>
    <xf numFmtId="0" fontId="0" fillId="0" borderId="61" xfId="0" applyBorder="1" applyAlignment="1">
      <alignment horizontal="centerContinuous"/>
    </xf>
    <xf numFmtId="0" fontId="0" fillId="0" borderId="0" xfId="0" quotePrefix="1" applyBorder="1"/>
    <xf numFmtId="0" fontId="0" fillId="0" borderId="0" xfId="0" applyBorder="1" applyAlignment="1">
      <alignment horizontal="center" vertical="top" wrapText="1"/>
    </xf>
    <xf numFmtId="0" fontId="24" fillId="0" borderId="0" xfId="0" applyFont="1" applyBorder="1"/>
    <xf numFmtId="0" fontId="24" fillId="0" borderId="0" xfId="0" quotePrefix="1" applyFont="1" applyFill="1" applyBorder="1"/>
    <xf numFmtId="0" fontId="9" fillId="0" borderId="0" xfId="0" applyFont="1" applyBorder="1"/>
    <xf numFmtId="0" fontId="9" fillId="0" borderId="15" xfId="0" applyFont="1" applyBorder="1"/>
    <xf numFmtId="0" fontId="25" fillId="0" borderId="0" xfId="0" applyFont="1" applyBorder="1" applyAlignment="1">
      <alignment horizontal="left"/>
    </xf>
    <xf numFmtId="0" fontId="26" fillId="0" borderId="62" xfId="0" applyFont="1" applyFill="1" applyBorder="1" applyAlignment="1">
      <alignment horizontal="left"/>
    </xf>
    <xf numFmtId="17" fontId="26" fillId="0" borderId="62" xfId="0" applyNumberFormat="1" applyFont="1" applyFill="1" applyBorder="1" applyAlignment="1">
      <alignment horizontal="left"/>
    </xf>
    <xf numFmtId="0" fontId="25" fillId="0" borderId="0" xfId="0" applyFont="1" applyBorder="1" applyAlignment="1">
      <alignment horizontal="center"/>
    </xf>
    <xf numFmtId="0" fontId="27" fillId="0" borderId="0" xfId="0" applyFont="1"/>
    <xf numFmtId="0" fontId="29" fillId="0" borderId="63" xfId="0" applyFont="1" applyBorder="1" applyAlignment="1">
      <alignment horizontal="center" wrapText="1"/>
    </xf>
    <xf numFmtId="0" fontId="29" fillId="0" borderId="24" xfId="0" applyFont="1" applyBorder="1" applyAlignment="1">
      <alignment horizontal="center" wrapText="1"/>
    </xf>
    <xf numFmtId="0" fontId="29" fillId="0" borderId="64" xfId="0" applyFont="1" applyBorder="1" applyAlignment="1">
      <alignment horizontal="center" wrapText="1"/>
    </xf>
    <xf numFmtId="175" fontId="0" fillId="0" borderId="0" xfId="1" applyNumberFormat="1" applyFont="1" applyAlignment="1">
      <alignment horizontal="center"/>
    </xf>
    <xf numFmtId="0" fontId="0" fillId="0" borderId="0" xfId="0" applyAlignment="1">
      <alignment vertical="center"/>
    </xf>
    <xf numFmtId="175" fontId="0" fillId="0" borderId="0" xfId="0" applyNumberFormat="1" applyAlignment="1">
      <alignment horizontal="center"/>
    </xf>
    <xf numFmtId="0" fontId="24" fillId="0" borderId="0" xfId="0" applyFont="1" applyBorder="1" applyAlignment="1" applyProtection="1">
      <alignment horizontal="right"/>
      <protection locked="0"/>
    </xf>
    <xf numFmtId="0" fontId="24" fillId="0" borderId="0" xfId="0" applyFont="1" applyBorder="1" applyProtection="1">
      <protection locked="0"/>
    </xf>
    <xf numFmtId="3" fontId="24" fillId="0" borderId="0" xfId="0" applyNumberFormat="1" applyFont="1" applyBorder="1" applyProtection="1">
      <protection locked="0"/>
    </xf>
    <xf numFmtId="0" fontId="8" fillId="0" borderId="0" xfId="0" applyFont="1" applyAlignment="1">
      <alignment horizontal="right"/>
    </xf>
    <xf numFmtId="0" fontId="8" fillId="0" borderId="0" xfId="0" applyFont="1" applyBorder="1" applyAlignment="1">
      <alignment horizontal="right"/>
    </xf>
    <xf numFmtId="0" fontId="32" fillId="0" borderId="0" xfId="0" applyFont="1"/>
    <xf numFmtId="0" fontId="33" fillId="0" borderId="0" xfId="0" applyFont="1"/>
    <xf numFmtId="0" fontId="32" fillId="0" borderId="65" xfId="0" applyFont="1" applyBorder="1"/>
    <xf numFmtId="0" fontId="32" fillId="0" borderId="0" xfId="0" applyFont="1" applyBorder="1"/>
    <xf numFmtId="0" fontId="32" fillId="0" borderId="66" xfId="0" applyFont="1" applyBorder="1"/>
    <xf numFmtId="0" fontId="32" fillId="0" borderId="67" xfId="0" applyFont="1" applyBorder="1"/>
    <xf numFmtId="0" fontId="35" fillId="0" borderId="0" xfId="0" applyFont="1"/>
    <xf numFmtId="0" fontId="36" fillId="0" borderId="0" xfId="0" applyFont="1"/>
    <xf numFmtId="0" fontId="37" fillId="0" borderId="0" xfId="0" applyFont="1" applyAlignment="1">
      <alignment horizontal="centerContinuous"/>
    </xf>
    <xf numFmtId="0" fontId="4" fillId="0" borderId="20" xfId="0" applyFont="1" applyBorder="1"/>
    <xf numFmtId="0" fontId="4" fillId="0" borderId="17" xfId="0" applyFont="1" applyBorder="1"/>
    <xf numFmtId="0" fontId="4" fillId="0" borderId="18" xfId="0" applyFont="1" applyBorder="1"/>
    <xf numFmtId="0" fontId="4" fillId="0" borderId="0" xfId="0" applyFont="1"/>
    <xf numFmtId="0" fontId="38" fillId="0" borderId="25" xfId="0" applyFont="1" applyBorder="1"/>
    <xf numFmtId="0" fontId="9" fillId="0" borderId="23" xfId="0" applyFont="1" applyBorder="1"/>
    <xf numFmtId="0" fontId="9" fillId="0" borderId="0" xfId="0" applyFont="1"/>
    <xf numFmtId="0" fontId="4" fillId="0" borderId="20" xfId="0" applyFont="1" applyBorder="1" applyProtection="1">
      <protection locked="0"/>
    </xf>
    <xf numFmtId="0" fontId="4" fillId="0" borderId="17" xfId="0" applyFont="1" applyBorder="1" applyProtection="1">
      <protection locked="0"/>
    </xf>
    <xf numFmtId="0" fontId="4" fillId="0" borderId="18" xfId="0" applyFont="1" applyBorder="1" applyProtection="1">
      <protection locked="0"/>
    </xf>
    <xf numFmtId="0" fontId="9" fillId="0" borderId="15" xfId="0" applyFont="1" applyBorder="1" applyProtection="1">
      <protection locked="0"/>
    </xf>
    <xf numFmtId="0" fontId="9" fillId="0" borderId="23" xfId="0" applyFont="1" applyBorder="1" applyProtection="1">
      <protection locked="0"/>
    </xf>
    <xf numFmtId="165" fontId="9" fillId="0" borderId="25" xfId="0" applyNumberFormat="1" applyFont="1" applyBorder="1" applyAlignment="1" applyProtection="1">
      <alignment horizontal="centerContinuous"/>
      <protection locked="0"/>
    </xf>
    <xf numFmtId="165" fontId="9" fillId="0" borderId="23" xfId="0" applyNumberFormat="1" applyFont="1" applyBorder="1" applyAlignment="1">
      <alignment horizontal="centerContinuous"/>
    </xf>
    <xf numFmtId="165" fontId="9" fillId="0" borderId="15" xfId="0" applyNumberFormat="1" applyFont="1" applyBorder="1" applyAlignment="1" applyProtection="1">
      <alignment horizontal="centerContinuous"/>
      <protection locked="0"/>
    </xf>
    <xf numFmtId="0" fontId="9" fillId="0" borderId="23" xfId="0" applyFont="1" applyBorder="1" applyAlignment="1">
      <alignment horizontal="centerContinuous"/>
    </xf>
    <xf numFmtId="0" fontId="1" fillId="0" borderId="20" xfId="0" applyFont="1" applyBorder="1" applyAlignment="1">
      <alignment horizontal="centerContinuous"/>
    </xf>
    <xf numFmtId="0" fontId="1" fillId="0" borderId="17" xfId="0" applyFont="1" applyBorder="1" applyAlignment="1">
      <alignment horizontal="centerContinuous"/>
    </xf>
    <xf numFmtId="0" fontId="1" fillId="0" borderId="18" xfId="0" applyFont="1" applyBorder="1" applyAlignment="1">
      <alignment horizontal="centerContinuous"/>
    </xf>
    <xf numFmtId="0" fontId="0" fillId="0" borderId="0" xfId="0" applyProtection="1">
      <protection locked="0"/>
    </xf>
    <xf numFmtId="0" fontId="0" fillId="0" borderId="62" xfId="0" applyBorder="1" applyAlignment="1">
      <alignment horizontal="center"/>
    </xf>
    <xf numFmtId="166" fontId="9" fillId="0" borderId="62" xfId="0" applyNumberFormat="1" applyFont="1" applyBorder="1" applyAlignment="1" applyProtection="1">
      <alignment horizontal="center"/>
      <protection locked="0"/>
    </xf>
    <xf numFmtId="0" fontId="9" fillId="0" borderId="62" xfId="0" applyFont="1" applyBorder="1" applyAlignment="1" applyProtection="1">
      <alignment horizontal="center"/>
      <protection locked="0"/>
    </xf>
    <xf numFmtId="165" fontId="0" fillId="0" borderId="62" xfId="0" quotePrefix="1" applyNumberFormat="1" applyBorder="1" applyAlignment="1" applyProtection="1">
      <alignment horizontal="center"/>
      <protection locked="0"/>
    </xf>
    <xf numFmtId="0" fontId="0" fillId="0" borderId="0" xfId="0" quotePrefix="1"/>
    <xf numFmtId="165" fontId="0" fillId="0" borderId="0" xfId="0" applyNumberFormat="1" applyAlignment="1" applyProtection="1">
      <alignment horizontal="center"/>
      <protection locked="0"/>
    </xf>
    <xf numFmtId="0" fontId="20" fillId="0" borderId="68" xfId="0" applyFont="1" applyBorder="1" applyAlignment="1">
      <alignment horizontal="centerContinuous"/>
    </xf>
    <xf numFmtId="0" fontId="4" fillId="0" borderId="60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165" fontId="0" fillId="0" borderId="60" xfId="0" applyNumberFormat="1" applyBorder="1" applyAlignment="1">
      <alignment horizontal="centerContinuous"/>
    </xf>
    <xf numFmtId="0" fontId="1" fillId="0" borderId="20" xfId="0" applyFont="1" applyBorder="1"/>
    <xf numFmtId="0" fontId="0" fillId="0" borderId="18" xfId="0" applyBorder="1"/>
    <xf numFmtId="0" fontId="0" fillId="0" borderId="6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69" xfId="0" applyBorder="1"/>
    <xf numFmtId="166" fontId="0" fillId="0" borderId="0" xfId="0" applyNumberFormat="1" applyBorder="1" applyAlignment="1">
      <alignment horizontal="left"/>
    </xf>
    <xf numFmtId="0" fontId="0" fillId="0" borderId="25" xfId="0" applyBorder="1"/>
    <xf numFmtId="0" fontId="0" fillId="0" borderId="15" xfId="0" applyBorder="1" applyAlignment="1">
      <alignment horizontal="center"/>
    </xf>
    <xf numFmtId="165" fontId="0" fillId="0" borderId="15" xfId="0" applyNumberFormat="1" applyBorder="1" applyAlignment="1">
      <alignment horizontal="left"/>
    </xf>
    <xf numFmtId="165" fontId="0" fillId="0" borderId="0" xfId="0" applyNumberFormat="1" applyBorder="1" applyAlignment="1">
      <alignment horizontal="left"/>
    </xf>
    <xf numFmtId="0" fontId="1" fillId="0" borderId="69" xfId="0" applyFont="1" applyBorder="1"/>
    <xf numFmtId="0" fontId="40" fillId="0" borderId="0" xfId="0" applyFont="1" applyBorder="1"/>
    <xf numFmtId="0" fontId="0" fillId="0" borderId="15" xfId="0" applyBorder="1" applyProtection="1">
      <protection locked="0"/>
    </xf>
    <xf numFmtId="0" fontId="0" fillId="0" borderId="0" xfId="0" applyAlignment="1" applyProtection="1">
      <alignment horizontal="centerContinuous"/>
      <protection locked="0"/>
    </xf>
    <xf numFmtId="0" fontId="20" fillId="0" borderId="0" xfId="0" applyFont="1"/>
    <xf numFmtId="0" fontId="0" fillId="0" borderId="20" xfId="0" applyBorder="1"/>
    <xf numFmtId="0" fontId="41" fillId="0" borderId="0" xfId="0" applyFont="1"/>
    <xf numFmtId="0" fontId="9" fillId="0" borderId="0" xfId="0" applyFont="1" applyBorder="1" applyProtection="1">
      <protection locked="0"/>
    </xf>
    <xf numFmtId="0" fontId="9" fillId="0" borderId="0" xfId="0" applyFont="1" applyBorder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14" fillId="0" borderId="62" xfId="0" applyFont="1" applyBorder="1" applyAlignment="1">
      <alignment horizontal="center"/>
    </xf>
    <xf numFmtId="0" fontId="14" fillId="0" borderId="62" xfId="0" applyFont="1" applyBorder="1" applyAlignment="1">
      <alignment horizontal="center" wrapText="1"/>
    </xf>
    <xf numFmtId="0" fontId="8" fillId="0" borderId="62" xfId="0" applyFont="1" applyBorder="1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/>
    </xf>
    <xf numFmtId="0" fontId="14" fillId="0" borderId="17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8" fillId="0" borderId="0" xfId="0" applyFont="1" applyBorder="1" applyAlignment="1"/>
    <xf numFmtId="0" fontId="42" fillId="0" borderId="0" xfId="0" applyFont="1" applyBorder="1" applyAlignment="1"/>
    <xf numFmtId="0" fontId="14" fillId="0" borderId="0" xfId="0" applyFont="1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/>
    </xf>
    <xf numFmtId="0" fontId="0" fillId="0" borderId="20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14" fillId="0" borderId="23" xfId="0" applyFont="1" applyBorder="1" applyAlignment="1">
      <alignment horizontal="center"/>
    </xf>
    <xf numFmtId="0" fontId="0" fillId="0" borderId="25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23" xfId="0" applyBorder="1" applyAlignment="1">
      <alignment horizontal="center"/>
    </xf>
    <xf numFmtId="176" fontId="0" fillId="0" borderId="24" xfId="0" applyNumberFormat="1" applyBorder="1" applyAlignment="1">
      <alignment horizontal="center"/>
    </xf>
    <xf numFmtId="177" fontId="0" fillId="0" borderId="0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22" fillId="0" borderId="0" xfId="0" applyFont="1"/>
    <xf numFmtId="0" fontId="0" fillId="0" borderId="70" xfId="0" applyBorder="1" applyProtection="1"/>
    <xf numFmtId="0" fontId="0" fillId="0" borderId="71" xfId="0" applyBorder="1" applyProtection="1"/>
    <xf numFmtId="0" fontId="0" fillId="0" borderId="72" xfId="0" applyBorder="1" applyProtection="1"/>
    <xf numFmtId="20" fontId="14" fillId="0" borderId="73" xfId="0" applyNumberFormat="1" applyFont="1" applyBorder="1" applyProtection="1"/>
    <xf numFmtId="0" fontId="14" fillId="0" borderId="0" xfId="0" applyFont="1" applyBorder="1" applyProtection="1"/>
    <xf numFmtId="0" fontId="0" fillId="0" borderId="0" xfId="0" applyBorder="1" applyProtection="1"/>
    <xf numFmtId="0" fontId="0" fillId="0" borderId="66" xfId="0" applyBorder="1" applyProtection="1"/>
    <xf numFmtId="0" fontId="14" fillId="0" borderId="73" xfId="0" applyFont="1" applyBorder="1" applyProtection="1"/>
    <xf numFmtId="0" fontId="0" fillId="0" borderId="73" xfId="0" applyBorder="1" applyProtection="1"/>
    <xf numFmtId="0" fontId="0" fillId="0" borderId="0" xfId="0" applyFill="1" applyBorder="1" applyProtection="1"/>
    <xf numFmtId="0" fontId="30" fillId="0" borderId="0" xfId="0" applyFont="1" applyBorder="1" applyProtection="1"/>
    <xf numFmtId="0" fontId="43" fillId="0" borderId="0" xfId="0" applyFont="1" applyBorder="1" applyProtection="1"/>
    <xf numFmtId="0" fontId="0" fillId="0" borderId="74" xfId="0" applyBorder="1" applyProtection="1"/>
    <xf numFmtId="0" fontId="0" fillId="0" borderId="65" xfId="0" applyBorder="1" applyProtection="1"/>
    <xf numFmtId="0" fontId="0" fillId="0" borderId="67" xfId="0" applyBorder="1" applyProtection="1"/>
    <xf numFmtId="0" fontId="4" fillId="0" borderId="0" xfId="0" applyFont="1" applyAlignment="1">
      <alignment horizontal="right"/>
    </xf>
    <xf numFmtId="0" fontId="4" fillId="0" borderId="24" xfId="0" applyFont="1" applyBorder="1" applyAlignment="1">
      <alignment horizontal="center"/>
    </xf>
    <xf numFmtId="0" fontId="40" fillId="0" borderId="62" xfId="0" applyFont="1" applyBorder="1" applyAlignment="1" applyProtection="1">
      <alignment horizontal="center"/>
      <protection locked="0"/>
    </xf>
    <xf numFmtId="0" fontId="0" fillId="0" borderId="0" xfId="0" applyAlignment="1"/>
    <xf numFmtId="0" fontId="14" fillId="3" borderId="0" xfId="0" applyFont="1" applyFill="1"/>
    <xf numFmtId="0" fontId="0" fillId="3" borderId="0" xfId="0" applyFill="1"/>
    <xf numFmtId="0" fontId="0" fillId="0" borderId="0" xfId="0" applyFill="1"/>
    <xf numFmtId="0" fontId="5" fillId="3" borderId="0" xfId="0" applyFont="1" applyFill="1" applyAlignment="1">
      <alignment vertical="top"/>
    </xf>
    <xf numFmtId="0" fontId="0" fillId="0" borderId="0" xfId="0" applyAlignment="1">
      <alignment horizontal="left"/>
    </xf>
    <xf numFmtId="0" fontId="14" fillId="0" borderId="0" xfId="0" applyFont="1" applyAlignment="1">
      <alignment wrapText="1"/>
    </xf>
    <xf numFmtId="0" fontId="14" fillId="3" borderId="75" xfId="0" applyFont="1" applyFill="1" applyBorder="1" applyAlignment="1">
      <alignment horizontal="center"/>
    </xf>
    <xf numFmtId="176" fontId="14" fillId="4" borderId="75" xfId="0" applyNumberFormat="1" applyFont="1" applyFill="1" applyBorder="1" applyAlignment="1">
      <alignment horizontal="center"/>
    </xf>
    <xf numFmtId="0" fontId="14" fillId="0" borderId="0" xfId="0" applyFont="1" applyAlignment="1">
      <alignment horizontal="center" wrapText="1"/>
    </xf>
    <xf numFmtId="16" fontId="14" fillId="3" borderId="75" xfId="0" applyNumberFormat="1" applyFont="1" applyFill="1" applyBorder="1" applyAlignment="1">
      <alignment horizontal="center"/>
    </xf>
    <xf numFmtId="0" fontId="8" fillId="0" borderId="75" xfId="0" applyFont="1" applyBorder="1" applyAlignment="1">
      <alignment horizontal="left" vertical="top" wrapText="1"/>
    </xf>
    <xf numFmtId="0" fontId="0" fillId="0" borderId="75" xfId="0" applyBorder="1" applyAlignment="1">
      <alignment horizontal="left" vertical="top" wrapText="1"/>
    </xf>
    <xf numFmtId="176" fontId="14" fillId="3" borderId="75" xfId="0" applyNumberFormat="1" applyFont="1" applyFill="1" applyBorder="1" applyAlignment="1">
      <alignment horizontal="center"/>
    </xf>
    <xf numFmtId="9" fontId="14" fillId="4" borderId="76" xfId="4" applyFont="1" applyFill="1" applyBorder="1" applyAlignment="1">
      <alignment horizontal="center"/>
    </xf>
    <xf numFmtId="0" fontId="0" fillId="0" borderId="75" xfId="0" applyBorder="1" applyAlignment="1">
      <alignment horizontal="left" vertical="center" wrapText="1"/>
    </xf>
    <xf numFmtId="9" fontId="14" fillId="4" borderId="75" xfId="4" applyFont="1" applyFill="1" applyBorder="1" applyAlignment="1">
      <alignment horizontal="center"/>
    </xf>
    <xf numFmtId="9" fontId="14" fillId="4" borderId="75" xfId="0" applyNumberFormat="1" applyFont="1" applyFill="1" applyBorder="1" applyAlignment="1">
      <alignment horizontal="center"/>
    </xf>
    <xf numFmtId="0" fontId="0" fillId="0" borderId="0" xfId="0" applyAlignment="1">
      <alignment horizontal="left" vertical="top" wrapText="1"/>
    </xf>
    <xf numFmtId="3" fontId="14" fillId="3" borderId="75" xfId="0" applyNumberFormat="1" applyFont="1" applyFill="1" applyBorder="1" applyAlignment="1">
      <alignment horizontal="center"/>
    </xf>
    <xf numFmtId="1" fontId="14" fillId="4" borderId="75" xfId="0" applyNumberFormat="1" applyFont="1" applyFill="1" applyBorder="1" applyAlignment="1">
      <alignment horizontal="center"/>
    </xf>
    <xf numFmtId="0" fontId="8" fillId="0" borderId="75" xfId="0" applyFont="1" applyBorder="1" applyAlignment="1">
      <alignment horizontal="left" vertical="center" wrapText="1"/>
    </xf>
    <xf numFmtId="0" fontId="8" fillId="0" borderId="0" xfId="0" applyFont="1" applyAlignment="1">
      <alignment horizontal="right" wrapText="1"/>
    </xf>
    <xf numFmtId="0" fontId="8" fillId="0" borderId="0" xfId="0" applyFont="1" applyAlignment="1">
      <alignment horizontal="left" wrapText="1"/>
    </xf>
    <xf numFmtId="2" fontId="14" fillId="4" borderId="75" xfId="0" applyNumberFormat="1" applyFont="1" applyFill="1" applyBorder="1" applyAlignment="1">
      <alignment horizontal="center"/>
    </xf>
    <xf numFmtId="165" fontId="14" fillId="4" borderId="75" xfId="0" applyNumberFormat="1" applyFont="1" applyFill="1" applyBorder="1" applyAlignment="1">
      <alignment horizontal="center"/>
    </xf>
    <xf numFmtId="0" fontId="8" fillId="0" borderId="0" xfId="0" applyFont="1" applyAlignment="1">
      <alignment wrapText="1"/>
    </xf>
    <xf numFmtId="2" fontId="14" fillId="4" borderId="75" xfId="4" applyNumberFormat="1" applyFont="1" applyFill="1" applyBorder="1" applyAlignment="1">
      <alignment horizontal="center"/>
    </xf>
    <xf numFmtId="9" fontId="14" fillId="0" borderId="0" xfId="4" applyFont="1" applyFill="1" applyBorder="1" applyAlignment="1">
      <alignment horizontal="center"/>
    </xf>
    <xf numFmtId="3" fontId="14" fillId="4" borderId="75" xfId="4" applyNumberFormat="1" applyFont="1" applyFill="1" applyBorder="1" applyAlignment="1">
      <alignment horizontal="center"/>
    </xf>
    <xf numFmtId="3" fontId="14" fillId="4" borderId="75" xfId="0" applyNumberFormat="1" applyFont="1" applyFill="1" applyBorder="1" applyAlignment="1">
      <alignment horizontal="center"/>
    </xf>
    <xf numFmtId="0" fontId="14" fillId="4" borderId="75" xfId="0" applyFont="1" applyFill="1" applyBorder="1" applyAlignment="1">
      <alignment horizontal="center"/>
    </xf>
    <xf numFmtId="0" fontId="14" fillId="5" borderId="75" xfId="0" applyFont="1" applyFill="1" applyBorder="1" applyAlignment="1">
      <alignment horizontal="center" wrapText="1"/>
    </xf>
    <xf numFmtId="9" fontId="14" fillId="5" borderId="75" xfId="4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1" fontId="14" fillId="3" borderId="75" xfId="4" applyNumberFormat="1" applyFont="1" applyFill="1" applyBorder="1" applyAlignment="1">
      <alignment horizontal="center" vertical="center"/>
    </xf>
    <xf numFmtId="176" fontId="14" fillId="4" borderId="75" xfId="4" applyNumberFormat="1" applyFont="1" applyFill="1" applyBorder="1" applyAlignment="1">
      <alignment horizontal="center"/>
    </xf>
    <xf numFmtId="3" fontId="14" fillId="4" borderId="75" xfId="0" applyNumberFormat="1" applyFont="1" applyFill="1" applyBorder="1" applyAlignment="1">
      <alignment horizontal="center" vertical="center"/>
    </xf>
    <xf numFmtId="179" fontId="14" fillId="4" borderId="75" xfId="4" applyNumberFormat="1" applyFont="1" applyFill="1" applyBorder="1" applyAlignment="1">
      <alignment horizontal="center" vertical="center"/>
    </xf>
    <xf numFmtId="0" fontId="14" fillId="5" borderId="75" xfId="0" applyFont="1" applyFill="1" applyBorder="1" applyAlignment="1">
      <alignment horizontal="center"/>
    </xf>
    <xf numFmtId="9" fontId="14" fillId="6" borderId="75" xfId="4" applyFont="1" applyFill="1" applyBorder="1" applyAlignment="1">
      <alignment horizontal="center"/>
    </xf>
    <xf numFmtId="0" fontId="51" fillId="0" borderId="0" xfId="0" applyFont="1"/>
    <xf numFmtId="0" fontId="4" fillId="0" borderId="0" xfId="0" applyFont="1" applyBorder="1"/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Continuous"/>
    </xf>
    <xf numFmtId="0" fontId="5" fillId="0" borderId="0" xfId="0" applyFont="1" applyBorder="1"/>
    <xf numFmtId="0" fontId="6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right"/>
    </xf>
    <xf numFmtId="0" fontId="7" fillId="0" borderId="0" xfId="0" applyFont="1" applyBorder="1"/>
    <xf numFmtId="0" fontId="52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49" fontId="32" fillId="0" borderId="0" xfId="0" applyNumberFormat="1" applyFont="1"/>
    <xf numFmtId="49" fontId="0" fillId="0" borderId="0" xfId="0" applyNumberFormat="1"/>
    <xf numFmtId="49" fontId="32" fillId="0" borderId="73" xfId="0" applyNumberFormat="1" applyFont="1" applyBorder="1"/>
    <xf numFmtId="49" fontId="34" fillId="0" borderId="77" xfId="0" applyNumberFormat="1" applyFont="1" applyBorder="1"/>
    <xf numFmtId="49" fontId="32" fillId="0" borderId="74" xfId="0" applyNumberFormat="1" applyFont="1" applyBorder="1"/>
    <xf numFmtId="0" fontId="10" fillId="0" borderId="0" xfId="0" applyFont="1" applyBorder="1" applyAlignment="1">
      <alignment horizontal="center"/>
    </xf>
    <xf numFmtId="181" fontId="10" fillId="0" borderId="15" xfId="0" applyNumberFormat="1" applyFont="1" applyBorder="1" applyAlignment="1">
      <alignment horizontal="center"/>
    </xf>
    <xf numFmtId="0" fontId="0" fillId="0" borderId="0" xfId="0" applyBorder="1" applyAlignment="1"/>
    <xf numFmtId="0" fontId="53" fillId="0" borderId="0" xfId="0" applyFont="1" applyBorder="1" applyAlignment="1">
      <alignment horizontal="center" vertical="center"/>
    </xf>
    <xf numFmtId="0" fontId="32" fillId="0" borderId="62" xfId="0" applyFont="1" applyBorder="1" applyAlignment="1">
      <alignment horizontal="center"/>
    </xf>
    <xf numFmtId="0" fontId="32" fillId="0" borderId="62" xfId="0" applyFont="1" applyBorder="1"/>
    <xf numFmtId="0" fontId="10" fillId="0" borderId="0" xfId="0" applyFont="1" applyBorder="1" applyAlignment="1">
      <alignment horizontal="center" vertical="top"/>
    </xf>
    <xf numFmtId="0" fontId="0" fillId="0" borderId="0" xfId="0" applyBorder="1" applyProtection="1">
      <protection locked="0"/>
    </xf>
    <xf numFmtId="0" fontId="4" fillId="0" borderId="0" xfId="0" applyFont="1" applyBorder="1" applyProtection="1">
      <protection locked="0"/>
    </xf>
    <xf numFmtId="0" fontId="10" fillId="0" borderId="0" xfId="0" applyFont="1" applyBorder="1" applyProtection="1">
      <protection locked="0"/>
    </xf>
    <xf numFmtId="181" fontId="0" fillId="0" borderId="0" xfId="0" applyNumberFormat="1" applyBorder="1" applyAlignment="1" applyProtection="1">
      <alignment horizontal="center"/>
      <protection locked="0"/>
    </xf>
    <xf numFmtId="181" fontId="0" fillId="0" borderId="65" xfId="0" applyNumberFormat="1" applyBorder="1" applyAlignment="1" applyProtection="1">
      <alignment horizontal="center"/>
      <protection locked="0"/>
    </xf>
    <xf numFmtId="0" fontId="0" fillId="0" borderId="0" xfId="0" applyBorder="1" applyAlignment="1" applyProtection="1">
      <protection locked="0"/>
    </xf>
    <xf numFmtId="0" fontId="44" fillId="0" borderId="0" xfId="0" applyFont="1" applyBorder="1" applyAlignment="1">
      <alignment horizontal="right"/>
    </xf>
    <xf numFmtId="0" fontId="0" fillId="0" borderId="65" xfId="0" applyBorder="1"/>
    <xf numFmtId="0" fontId="0" fillId="0" borderId="65" xfId="0" applyBorder="1" applyAlignment="1" applyProtection="1">
      <alignment horizontal="left"/>
      <protection locked="0"/>
    </xf>
    <xf numFmtId="0" fontId="0" fillId="0" borderId="65" xfId="0" applyBorder="1" applyAlignment="1">
      <alignment horizontal="center"/>
    </xf>
    <xf numFmtId="181" fontId="0" fillId="0" borderId="65" xfId="0" applyNumberFormat="1" applyBorder="1" applyAlignment="1">
      <alignment horizontal="center"/>
    </xf>
    <xf numFmtId="166" fontId="0" fillId="0" borderId="65" xfId="0" applyNumberFormat="1" applyBorder="1" applyAlignment="1" applyProtection="1">
      <alignment horizontal="center"/>
      <protection locked="0"/>
    </xf>
    <xf numFmtId="0" fontId="0" fillId="0" borderId="70" xfId="0" applyBorder="1"/>
    <xf numFmtId="0" fontId="0" fillId="0" borderId="71" xfId="0" applyBorder="1"/>
    <xf numFmtId="0" fontId="0" fillId="0" borderId="72" xfId="0" applyBorder="1"/>
    <xf numFmtId="0" fontId="0" fillId="0" borderId="73" xfId="0" applyBorder="1"/>
    <xf numFmtId="0" fontId="0" fillId="0" borderId="66" xfId="0" applyBorder="1"/>
    <xf numFmtId="0" fontId="0" fillId="0" borderId="77" xfId="0" applyBorder="1"/>
    <xf numFmtId="0" fontId="0" fillId="0" borderId="78" xfId="0" applyBorder="1"/>
    <xf numFmtId="0" fontId="0" fillId="0" borderId="74" xfId="0" applyBorder="1"/>
    <xf numFmtId="0" fontId="44" fillId="0" borderId="65" xfId="0" applyFont="1" applyBorder="1" applyAlignment="1">
      <alignment horizontal="right" vertical="top"/>
    </xf>
    <xf numFmtId="0" fontId="0" fillId="0" borderId="79" xfId="0" applyBorder="1"/>
    <xf numFmtId="0" fontId="0" fillId="0" borderId="67" xfId="0" applyBorder="1"/>
    <xf numFmtId="0" fontId="4" fillId="0" borderId="70" xfId="0" applyFont="1" applyBorder="1"/>
    <xf numFmtId="0" fontId="4" fillId="0" borderId="71" xfId="0" applyFont="1" applyBorder="1"/>
    <xf numFmtId="0" fontId="10" fillId="0" borderId="70" xfId="0" applyFont="1" applyBorder="1" applyAlignment="1">
      <alignment horizontal="left"/>
    </xf>
    <xf numFmtId="0" fontId="10" fillId="0" borderId="73" xfId="0" applyFont="1" applyBorder="1" applyAlignment="1">
      <alignment horizontal="left"/>
    </xf>
    <xf numFmtId="0" fontId="40" fillId="0" borderId="80" xfId="0" applyFont="1" applyBorder="1" applyAlignment="1" applyProtection="1">
      <alignment horizontal="center"/>
      <protection locked="0"/>
    </xf>
    <xf numFmtId="0" fontId="40" fillId="0" borderId="81" xfId="0" applyFont="1" applyBorder="1" applyAlignment="1" applyProtection="1">
      <alignment horizontal="center"/>
      <protection locked="0"/>
    </xf>
    <xf numFmtId="0" fontId="40" fillId="0" borderId="82" xfId="0" applyFont="1" applyBorder="1" applyAlignment="1" applyProtection="1">
      <alignment horizontal="center"/>
      <protection locked="0"/>
    </xf>
    <xf numFmtId="0" fontId="40" fillId="0" borderId="58" xfId="0" applyFont="1" applyBorder="1" applyAlignment="1" applyProtection="1">
      <alignment horizontal="center"/>
      <protection locked="0"/>
    </xf>
    <xf numFmtId="0" fontId="40" fillId="0" borderId="59" xfId="0" applyFont="1" applyBorder="1" applyAlignment="1" applyProtection="1">
      <alignment horizontal="center"/>
      <protection locked="0"/>
    </xf>
    <xf numFmtId="0" fontId="55" fillId="0" borderId="71" xfId="0" applyFont="1" applyBorder="1" applyAlignment="1">
      <alignment horizontal="center"/>
    </xf>
    <xf numFmtId="0" fontId="40" fillId="0" borderId="0" xfId="0" applyFont="1" applyBorder="1" applyAlignment="1" applyProtection="1">
      <alignment horizontal="center"/>
      <protection locked="0"/>
    </xf>
    <xf numFmtId="0" fontId="40" fillId="0" borderId="0" xfId="0" applyFont="1" applyBorder="1" applyProtection="1">
      <protection locked="0"/>
    </xf>
    <xf numFmtId="181" fontId="40" fillId="0" borderId="0" xfId="0" applyNumberFormat="1" applyFont="1" applyBorder="1" applyProtection="1">
      <protection locked="0"/>
    </xf>
    <xf numFmtId="0" fontId="0" fillId="0" borderId="0" xfId="0" applyAlignment="1">
      <alignment horizontal="center" vertical="center"/>
    </xf>
    <xf numFmtId="0" fontId="54" fillId="0" borderId="0" xfId="0" applyFont="1" applyAlignment="1">
      <alignment horizontal="center"/>
    </xf>
    <xf numFmtId="0" fontId="54" fillId="0" borderId="0" xfId="0" applyFont="1" applyAlignment="1">
      <alignment horizontal="center" vertical="top"/>
    </xf>
    <xf numFmtId="0" fontId="4" fillId="0" borderId="6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181" fontId="5" fillId="0" borderId="24" xfId="0" applyNumberFormat="1" applyFont="1" applyBorder="1" applyAlignment="1">
      <alignment horizontal="center"/>
    </xf>
    <xf numFmtId="0" fontId="4" fillId="0" borderId="64" xfId="0" applyFont="1" applyBorder="1" applyAlignment="1">
      <alignment horizontal="center"/>
    </xf>
    <xf numFmtId="0" fontId="4" fillId="0" borderId="83" xfId="0" applyFont="1" applyBorder="1" applyAlignment="1">
      <alignment horizontal="center" vertical="center" wrapText="1"/>
    </xf>
    <xf numFmtId="0" fontId="4" fillId="0" borderId="84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wrapText="1"/>
    </xf>
    <xf numFmtId="0" fontId="40" fillId="0" borderId="62" xfId="0" applyFont="1" applyBorder="1" applyAlignment="1" applyProtection="1">
      <alignment horizontal="center" wrapText="1"/>
      <protection locked="0"/>
    </xf>
    <xf numFmtId="0" fontId="40" fillId="0" borderId="58" xfId="0" applyFont="1" applyBorder="1" applyAlignment="1" applyProtection="1">
      <alignment horizontal="center" wrapText="1"/>
      <protection locked="0"/>
    </xf>
    <xf numFmtId="181" fontId="40" fillId="0" borderId="62" xfId="0" applyNumberFormat="1" applyFont="1" applyBorder="1" applyAlignment="1" applyProtection="1">
      <alignment horizontal="center"/>
      <protection locked="0"/>
    </xf>
    <xf numFmtId="181" fontId="40" fillId="0" borderId="58" xfId="0" applyNumberFormat="1" applyFont="1" applyBorder="1" applyAlignment="1" applyProtection="1">
      <alignment horizontal="center"/>
      <protection locked="0"/>
    </xf>
    <xf numFmtId="0" fontId="24" fillId="0" borderId="66" xfId="0" applyFont="1" applyBorder="1"/>
    <xf numFmtId="0" fontId="24" fillId="0" borderId="74" xfId="0" applyFont="1" applyBorder="1" applyProtection="1">
      <protection locked="0"/>
    </xf>
    <xf numFmtId="0" fontId="24" fillId="0" borderId="65" xfId="0" applyFont="1" applyBorder="1"/>
    <xf numFmtId="0" fontId="24" fillId="0" borderId="65" xfId="0" quotePrefix="1" applyFont="1" applyBorder="1"/>
    <xf numFmtId="0" fontId="24" fillId="0" borderId="67" xfId="0" applyFont="1" applyBorder="1"/>
    <xf numFmtId="0" fontId="24" fillId="0" borderId="73" xfId="0" applyFont="1" applyBorder="1"/>
    <xf numFmtId="0" fontId="24" fillId="0" borderId="66" xfId="0" quotePrefix="1" applyFont="1" applyFill="1" applyBorder="1"/>
    <xf numFmtId="0" fontId="30" fillId="0" borderId="0" xfId="0" applyFont="1" applyBorder="1" applyAlignment="1">
      <alignment horizontal="center"/>
    </xf>
    <xf numFmtId="2" fontId="24" fillId="0" borderId="0" xfId="0" applyNumberFormat="1" applyFont="1" applyBorder="1" applyProtection="1">
      <protection locked="0"/>
    </xf>
    <xf numFmtId="0" fontId="0" fillId="0" borderId="71" xfId="0" applyBorder="1" applyAlignment="1">
      <alignment horizontal="left"/>
    </xf>
    <xf numFmtId="0" fontId="4" fillId="0" borderId="25" xfId="0" applyFont="1" applyBorder="1" applyAlignment="1">
      <alignment horizontal="center"/>
    </xf>
    <xf numFmtId="0" fontId="40" fillId="0" borderId="68" xfId="0" applyFont="1" applyBorder="1" applyAlignment="1" applyProtection="1">
      <alignment horizontal="center"/>
      <protection locked="0"/>
    </xf>
    <xf numFmtId="0" fontId="40" fillId="0" borderId="85" xfId="0" applyFont="1" applyBorder="1" applyAlignment="1" applyProtection="1">
      <alignment horizontal="center"/>
      <protection locked="0"/>
    </xf>
    <xf numFmtId="0" fontId="35" fillId="0" borderId="0" xfId="0" applyFont="1" applyFill="1"/>
    <xf numFmtId="0" fontId="55" fillId="0" borderId="72" xfId="0" applyFont="1" applyBorder="1" applyAlignment="1">
      <alignment horizontal="center"/>
    </xf>
    <xf numFmtId="0" fontId="4" fillId="0" borderId="86" xfId="0" applyFont="1" applyBorder="1" applyAlignment="1">
      <alignment horizontal="center" vertical="center" wrapText="1"/>
    </xf>
    <xf numFmtId="0" fontId="4" fillId="0" borderId="87" xfId="0" applyFont="1" applyBorder="1" applyAlignment="1">
      <alignment horizontal="center" vertical="center" wrapText="1"/>
    </xf>
    <xf numFmtId="0" fontId="4" fillId="7" borderId="88" xfId="0" applyFont="1" applyFill="1" applyBorder="1" applyAlignment="1">
      <alignment horizontal="center" vertical="center" wrapText="1"/>
    </xf>
    <xf numFmtId="0" fontId="4" fillId="7" borderId="89" xfId="0" applyFont="1" applyFill="1" applyBorder="1" applyAlignment="1">
      <alignment horizontal="center" vertical="center" wrapText="1"/>
    </xf>
    <xf numFmtId="0" fontId="4" fillId="0" borderId="90" xfId="0" applyFont="1" applyBorder="1" applyAlignment="1">
      <alignment horizontal="center" vertical="center" wrapText="1"/>
    </xf>
    <xf numFmtId="0" fontId="10" fillId="0" borderId="72" xfId="0" applyFont="1" applyBorder="1" applyAlignment="1">
      <alignment horizontal="left"/>
    </xf>
    <xf numFmtId="0" fontId="57" fillId="0" borderId="62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3" fontId="9" fillId="0" borderId="0" xfId="0" applyNumberFormat="1" applyFont="1" applyBorder="1" applyAlignment="1"/>
    <xf numFmtId="4" fontId="9" fillId="0" borderId="0" xfId="0" applyNumberFormat="1" applyFont="1" applyBorder="1" applyAlignment="1"/>
    <xf numFmtId="4" fontId="24" fillId="0" borderId="0" xfId="0" applyNumberFormat="1" applyFont="1" applyBorder="1" applyAlignment="1"/>
    <xf numFmtId="0" fontId="30" fillId="0" borderId="0" xfId="0" applyFont="1" applyBorder="1" applyAlignment="1"/>
    <xf numFmtId="0" fontId="8" fillId="0" borderId="0" xfId="0" applyFont="1" applyBorder="1" applyAlignment="1">
      <alignment horizontal="centerContinuous"/>
    </xf>
    <xf numFmtId="0" fontId="60" fillId="0" borderId="0" xfId="0" applyFont="1" applyBorder="1"/>
    <xf numFmtId="0" fontId="1" fillId="8" borderId="20" xfId="0" applyFont="1" applyFill="1" applyBorder="1"/>
    <xf numFmtId="0" fontId="0" fillId="8" borderId="18" xfId="0" applyFill="1" applyBorder="1"/>
    <xf numFmtId="0" fontId="1" fillId="8" borderId="68" xfId="0" applyFont="1" applyFill="1" applyBorder="1" applyAlignment="1">
      <alignment horizontal="centerContinuous"/>
    </xf>
    <xf numFmtId="0" fontId="1" fillId="8" borderId="60" xfId="0" applyFont="1" applyFill="1" applyBorder="1" applyAlignment="1">
      <alignment horizontal="centerContinuous"/>
    </xf>
    <xf numFmtId="0" fontId="1" fillId="8" borderId="61" xfId="0" applyFont="1" applyFill="1" applyBorder="1" applyAlignment="1">
      <alignment horizontal="centerContinuous"/>
    </xf>
    <xf numFmtId="0" fontId="1" fillId="8" borderId="20" xfId="0" applyFont="1" applyFill="1" applyBorder="1" applyAlignment="1">
      <alignment horizontal="centerContinuous"/>
    </xf>
    <xf numFmtId="0" fontId="0" fillId="8" borderId="18" xfId="0" applyFill="1" applyBorder="1" applyAlignment="1">
      <alignment horizontal="centerContinuous"/>
    </xf>
    <xf numFmtId="0" fontId="4" fillId="8" borderId="68" xfId="0" applyFont="1" applyFill="1" applyBorder="1"/>
    <xf numFmtId="0" fontId="4" fillId="8" borderId="60" xfId="0" applyFont="1" applyFill="1" applyBorder="1"/>
    <xf numFmtId="0" fontId="20" fillId="8" borderId="60" xfId="0" applyFont="1" applyFill="1" applyBorder="1" applyAlignment="1">
      <alignment horizontal="center"/>
    </xf>
    <xf numFmtId="0" fontId="4" fillId="8" borderId="61" xfId="0" applyFont="1" applyFill="1" applyBorder="1"/>
    <xf numFmtId="0" fontId="61" fillId="8" borderId="68" xfId="0" applyFont="1" applyFill="1" applyBorder="1" applyAlignment="1">
      <alignment horizontal="centerContinuous"/>
    </xf>
    <xf numFmtId="0" fontId="61" fillId="8" borderId="60" xfId="0" applyFont="1" applyFill="1" applyBorder="1" applyAlignment="1">
      <alignment horizontal="centerContinuous"/>
    </xf>
    <xf numFmtId="0" fontId="0" fillId="8" borderId="60" xfId="0" applyFill="1" applyBorder="1" applyAlignment="1">
      <alignment horizontal="centerContinuous"/>
    </xf>
    <xf numFmtId="0" fontId="0" fillId="8" borderId="61" xfId="0" applyFill="1" applyBorder="1" applyAlignment="1">
      <alignment horizontal="centerContinuous"/>
    </xf>
    <xf numFmtId="0" fontId="1" fillId="8" borderId="25" xfId="0" applyFont="1" applyFill="1" applyBorder="1"/>
    <xf numFmtId="0" fontId="0" fillId="8" borderId="23" xfId="0" applyFill="1" applyBorder="1"/>
    <xf numFmtId="0" fontId="1" fillId="8" borderId="62" xfId="0" applyFont="1" applyFill="1" applyBorder="1" applyAlignment="1">
      <alignment horizontal="center"/>
    </xf>
    <xf numFmtId="0" fontId="0" fillId="8" borderId="25" xfId="0" applyFill="1" applyBorder="1"/>
    <xf numFmtId="0" fontId="1" fillId="0" borderId="20" xfId="0" applyFont="1" applyFill="1" applyBorder="1"/>
    <xf numFmtId="0" fontId="0" fillId="0" borderId="17" xfId="0" applyFill="1" applyBorder="1"/>
    <xf numFmtId="0" fontId="0" fillId="0" borderId="18" xfId="0" applyFill="1" applyBorder="1"/>
    <xf numFmtId="0" fontId="0" fillId="0" borderId="20" xfId="0" applyFill="1" applyBorder="1"/>
    <xf numFmtId="0" fontId="0" fillId="0" borderId="91" xfId="0" applyBorder="1"/>
    <xf numFmtId="0" fontId="0" fillId="8" borderId="92" xfId="0" applyFill="1" applyBorder="1" applyAlignment="1">
      <alignment horizontal="center"/>
    </xf>
    <xf numFmtId="0" fontId="62" fillId="0" borderId="0" xfId="0" applyFont="1"/>
    <xf numFmtId="0" fontId="1" fillId="0" borderId="62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164" fontId="0" fillId="0" borderId="93" xfId="0" applyNumberFormat="1" applyBorder="1" applyAlignment="1">
      <alignment horizontal="left"/>
    </xf>
    <xf numFmtId="0" fontId="0" fillId="8" borderId="61" xfId="0" applyFill="1" applyBorder="1" applyAlignment="1">
      <alignment horizontal="center"/>
    </xf>
    <xf numFmtId="0" fontId="0" fillId="0" borderId="88" xfId="0" applyBorder="1" applyAlignment="1">
      <alignment horizontal="center"/>
    </xf>
    <xf numFmtId="0" fontId="0" fillId="0" borderId="33" xfId="0" applyBorder="1" applyAlignment="1">
      <alignment horizontal="center"/>
    </xf>
    <xf numFmtId="164" fontId="0" fillId="0" borderId="77" xfId="0" quotePrefix="1" applyNumberFormat="1" applyBorder="1" applyAlignment="1">
      <alignment horizontal="left"/>
    </xf>
    <xf numFmtId="0" fontId="0" fillId="8" borderId="23" xfId="0" applyFill="1" applyBorder="1" applyAlignment="1">
      <alignment horizontal="center"/>
    </xf>
    <xf numFmtId="0" fontId="0" fillId="0" borderId="24" xfId="0" applyBorder="1" applyAlignment="1">
      <alignment horizontal="center"/>
    </xf>
    <xf numFmtId="164" fontId="0" fillId="0" borderId="74" xfId="0" quotePrefix="1" applyNumberFormat="1" applyBorder="1" applyAlignment="1">
      <alignment horizontal="left"/>
    </xf>
    <xf numFmtId="0" fontId="0" fillId="8" borderId="94" xfId="0" applyFill="1" applyBorder="1" applyAlignment="1">
      <alignment horizontal="center"/>
    </xf>
    <xf numFmtId="2" fontId="0" fillId="9" borderId="58" xfId="0" applyNumberFormat="1" applyFill="1" applyBorder="1" applyAlignment="1">
      <alignment horizontal="center"/>
    </xf>
    <xf numFmtId="165" fontId="0" fillId="0" borderId="0" xfId="0" quotePrefix="1" applyNumberFormat="1" applyBorder="1" applyAlignment="1">
      <alignment horizontal="left"/>
    </xf>
    <xf numFmtId="0" fontId="64" fillId="0" borderId="62" xfId="0" applyFont="1" applyBorder="1" applyAlignment="1">
      <alignment horizontal="center"/>
    </xf>
    <xf numFmtId="2" fontId="0" fillId="0" borderId="0" xfId="0" applyNumberFormat="1" applyBorder="1" applyAlignment="1">
      <alignment horizontal="left"/>
    </xf>
    <xf numFmtId="2" fontId="0" fillId="0" borderId="62" xfId="0" applyNumberFormat="1" applyBorder="1" applyAlignment="1">
      <alignment horizontal="center"/>
    </xf>
    <xf numFmtId="166" fontId="0" fillId="0" borderId="0" xfId="0" applyNumberFormat="1" applyBorder="1"/>
    <xf numFmtId="2" fontId="0" fillId="0" borderId="33" xfId="0" applyNumberFormat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0" xfId="0" quotePrefix="1" applyBorder="1" applyAlignment="1">
      <alignment horizontal="center"/>
    </xf>
    <xf numFmtId="2" fontId="0" fillId="0" borderId="23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8" fillId="0" borderId="71" xfId="0" applyFont="1" applyBorder="1"/>
    <xf numFmtId="0" fontId="8" fillId="0" borderId="72" xfId="0" applyFont="1" applyBorder="1"/>
    <xf numFmtId="0" fontId="4" fillId="0" borderId="73" xfId="0" applyFont="1" applyBorder="1"/>
    <xf numFmtId="0" fontId="9" fillId="0" borderId="65" xfId="0" applyFont="1" applyBorder="1"/>
    <xf numFmtId="0" fontId="9" fillId="0" borderId="67" xfId="0" applyFont="1" applyBorder="1"/>
    <xf numFmtId="0" fontId="8" fillId="0" borderId="70" xfId="0" applyFont="1" applyBorder="1"/>
    <xf numFmtId="0" fontId="0" fillId="0" borderId="73" xfId="0" applyBorder="1" applyAlignment="1">
      <alignment horizontal="center"/>
    </xf>
    <xf numFmtId="0" fontId="0" fillId="0" borderId="74" xfId="0" applyBorder="1" applyAlignment="1">
      <alignment horizontal="center"/>
    </xf>
    <xf numFmtId="0" fontId="8" fillId="0" borderId="71" xfId="0" applyFont="1" applyBorder="1" applyAlignment="1"/>
    <xf numFmtId="0" fontId="8" fillId="0" borderId="72" xfId="0" applyFont="1" applyBorder="1" applyAlignment="1"/>
    <xf numFmtId="0" fontId="9" fillId="0" borderId="74" xfId="0" applyFont="1" applyBorder="1" applyProtection="1">
      <protection locked="0"/>
    </xf>
    <xf numFmtId="0" fontId="9" fillId="0" borderId="74" xfId="0" applyFont="1" applyBorder="1"/>
    <xf numFmtId="2" fontId="0" fillId="0" borderId="75" xfId="0" applyNumberFormat="1" applyBorder="1" applyAlignment="1">
      <alignment horizontal="left"/>
    </xf>
    <xf numFmtId="2" fontId="0" fillId="0" borderId="0" xfId="0" applyNumberFormat="1" applyBorder="1" applyAlignment="1">
      <alignment horizontal="center"/>
    </xf>
    <xf numFmtId="2" fontId="0" fillId="0" borderId="95" xfId="0" applyNumberFormat="1" applyBorder="1" applyAlignment="1">
      <alignment horizontal="left"/>
    </xf>
    <xf numFmtId="0" fontId="0" fillId="0" borderId="96" xfId="0" applyBorder="1"/>
    <xf numFmtId="0" fontId="0" fillId="0" borderId="94" xfId="0" applyBorder="1"/>
    <xf numFmtId="164" fontId="0" fillId="7" borderId="91" xfId="0" quotePrefix="1" applyNumberFormat="1" applyFill="1" applyBorder="1" applyAlignment="1">
      <alignment horizontal="left"/>
    </xf>
    <xf numFmtId="164" fontId="0" fillId="7" borderId="93" xfId="0" quotePrefix="1" applyNumberFormat="1" applyFill="1" applyBorder="1" applyAlignment="1">
      <alignment horizontal="left"/>
    </xf>
    <xf numFmtId="164" fontId="0" fillId="7" borderId="73" xfId="0" quotePrefix="1" applyNumberFormat="1" applyFill="1" applyBorder="1" applyAlignment="1">
      <alignment horizontal="left"/>
    </xf>
    <xf numFmtId="0" fontId="1" fillId="0" borderId="97" xfId="0" applyFont="1" applyFill="1" applyBorder="1"/>
    <xf numFmtId="0" fontId="0" fillId="0" borderId="98" xfId="0" applyFill="1" applyBorder="1"/>
    <xf numFmtId="0" fontId="62" fillId="0" borderId="0" xfId="0" applyFont="1" applyBorder="1"/>
    <xf numFmtId="0" fontId="1" fillId="0" borderId="97" xfId="0" applyFont="1" applyBorder="1"/>
    <xf numFmtId="0" fontId="0" fillId="0" borderId="98" xfId="0" applyBorder="1"/>
    <xf numFmtId="0" fontId="0" fillId="0" borderId="77" xfId="0" applyBorder="1" applyAlignment="1">
      <alignment horizontal="center"/>
    </xf>
    <xf numFmtId="0" fontId="0" fillId="0" borderId="65" xfId="0" quotePrefix="1" applyBorder="1" applyAlignment="1">
      <alignment horizontal="center"/>
    </xf>
    <xf numFmtId="165" fontId="0" fillId="0" borderId="65" xfId="0" applyNumberFormat="1" applyBorder="1" applyAlignment="1">
      <alignment horizontal="left"/>
    </xf>
    <xf numFmtId="0" fontId="1" fillId="0" borderId="60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2" fontId="0" fillId="0" borderId="68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0" fontId="0" fillId="0" borderId="97" xfId="0" applyFill="1" applyBorder="1"/>
    <xf numFmtId="0" fontId="0" fillId="0" borderId="97" xfId="0" applyBorder="1"/>
    <xf numFmtId="0" fontId="0" fillId="0" borderId="99" xfId="0" applyFill="1" applyBorder="1"/>
    <xf numFmtId="165" fontId="0" fillId="0" borderId="99" xfId="0" applyNumberFormat="1" applyFill="1" applyBorder="1" applyAlignment="1">
      <alignment horizontal="center"/>
    </xf>
    <xf numFmtId="0" fontId="0" fillId="0" borderId="15" xfId="0" applyFill="1" applyBorder="1"/>
    <xf numFmtId="165" fontId="0" fillId="0" borderId="15" xfId="0" applyNumberFormat="1" applyFill="1" applyBorder="1" applyAlignment="1">
      <alignment horizontal="center"/>
    </xf>
    <xf numFmtId="2" fontId="0" fillId="0" borderId="62" xfId="0" applyNumberFormat="1" applyFill="1" applyBorder="1" applyAlignment="1">
      <alignment horizontal="center"/>
    </xf>
    <xf numFmtId="0" fontId="62" fillId="0" borderId="25" xfId="0" applyFont="1" applyFill="1" applyBorder="1" applyAlignment="1">
      <alignment horizontal="center"/>
    </xf>
    <xf numFmtId="2" fontId="0" fillId="0" borderId="58" xfId="0" applyNumberFormat="1" applyFill="1" applyBorder="1" applyAlignment="1">
      <alignment horizontal="center"/>
    </xf>
    <xf numFmtId="0" fontId="62" fillId="0" borderId="79" xfId="0" applyFont="1" applyFill="1" applyBorder="1" applyAlignment="1">
      <alignment horizontal="center"/>
    </xf>
    <xf numFmtId="2" fontId="0" fillId="0" borderId="86" xfId="0" applyNumberFormat="1" applyFill="1" applyBorder="1" applyAlignment="1">
      <alignment horizontal="center"/>
    </xf>
    <xf numFmtId="2" fontId="0" fillId="0" borderId="96" xfId="0" applyNumberFormat="1" applyFill="1" applyBorder="1"/>
    <xf numFmtId="0" fontId="62" fillId="0" borderId="100" xfId="0" applyFont="1" applyFill="1" applyBorder="1" applyAlignment="1">
      <alignment horizontal="center"/>
    </xf>
    <xf numFmtId="165" fontId="0" fillId="0" borderId="71" xfId="0" applyNumberFormat="1" applyFill="1" applyBorder="1" applyAlignment="1">
      <alignment horizontal="center"/>
    </xf>
    <xf numFmtId="2" fontId="0" fillId="0" borderId="94" xfId="0" applyNumberFormat="1" applyFill="1" applyBorder="1" applyAlignment="1">
      <alignment horizontal="center"/>
    </xf>
    <xf numFmtId="0" fontId="0" fillId="0" borderId="79" xfId="0" applyFill="1" applyBorder="1" applyAlignment="1">
      <alignment horizontal="center"/>
    </xf>
    <xf numFmtId="165" fontId="0" fillId="0" borderId="65" xfId="0" applyNumberFormat="1" applyFill="1" applyBorder="1" applyAlignment="1">
      <alignment horizontal="center"/>
    </xf>
    <xf numFmtId="0" fontId="62" fillId="0" borderId="101" xfId="0" applyFont="1" applyFill="1" applyBorder="1" applyAlignment="1">
      <alignment horizontal="center"/>
    </xf>
    <xf numFmtId="0" fontId="62" fillId="0" borderId="25" xfId="0" applyFont="1" applyFill="1" applyBorder="1" applyAlignment="1">
      <alignment horizontal="left"/>
    </xf>
    <xf numFmtId="165" fontId="0" fillId="0" borderId="60" xfId="0" applyNumberFormat="1" applyFill="1" applyBorder="1" applyAlignment="1">
      <alignment horizontal="center"/>
    </xf>
    <xf numFmtId="0" fontId="0" fillId="0" borderId="68" xfId="0" applyFill="1" applyBorder="1" applyAlignment="1">
      <alignment horizontal="left"/>
    </xf>
    <xf numFmtId="0" fontId="0" fillId="0" borderId="69" xfId="0" applyFill="1" applyBorder="1" applyAlignment="1">
      <alignment horizontal="left"/>
    </xf>
    <xf numFmtId="165" fontId="0" fillId="0" borderId="0" xfId="0" applyNumberFormat="1" applyFill="1" applyBorder="1" applyAlignment="1">
      <alignment horizontal="center"/>
    </xf>
    <xf numFmtId="0" fontId="38" fillId="9" borderId="74" xfId="0" applyFont="1" applyFill="1" applyBorder="1" applyAlignment="1">
      <alignment horizontal="center"/>
    </xf>
    <xf numFmtId="0" fontId="38" fillId="9" borderId="67" xfId="0" applyFont="1" applyFill="1" applyBorder="1" applyAlignment="1">
      <alignment horizontal="center"/>
    </xf>
    <xf numFmtId="2" fontId="9" fillId="9" borderId="102" xfId="0" applyNumberFormat="1" applyFont="1" applyFill="1" applyBorder="1" applyAlignment="1" applyProtection="1">
      <alignment horizontal="center"/>
      <protection locked="0"/>
    </xf>
    <xf numFmtId="2" fontId="9" fillId="9" borderId="62" xfId="0" applyNumberFormat="1" applyFont="1" applyFill="1" applyBorder="1" applyAlignment="1" applyProtection="1">
      <alignment horizontal="center"/>
      <protection locked="0"/>
    </xf>
    <xf numFmtId="2" fontId="24" fillId="9" borderId="102" xfId="0" applyNumberFormat="1" applyFont="1" applyFill="1" applyBorder="1" applyAlignment="1" applyProtection="1">
      <alignment horizontal="center"/>
      <protection locked="0"/>
    </xf>
    <xf numFmtId="2" fontId="24" fillId="9" borderId="62" xfId="0" applyNumberFormat="1" applyFont="1" applyFill="1" applyBorder="1" applyAlignment="1" applyProtection="1">
      <alignment horizontal="center"/>
      <protection locked="0"/>
    </xf>
    <xf numFmtId="0" fontId="1" fillId="10" borderId="58" xfId="0" applyFont="1" applyFill="1" applyBorder="1" applyAlignment="1">
      <alignment horizontal="center"/>
    </xf>
    <xf numFmtId="0" fontId="0" fillId="10" borderId="92" xfId="0" applyFill="1" applyBorder="1" applyAlignment="1">
      <alignment horizontal="center"/>
    </xf>
    <xf numFmtId="0" fontId="0" fillId="10" borderId="61" xfId="0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10" borderId="94" xfId="0" applyFill="1" applyBorder="1" applyAlignment="1">
      <alignment horizontal="center"/>
    </xf>
    <xf numFmtId="0" fontId="14" fillId="9" borderId="0" xfId="0" applyFont="1" applyFill="1" applyBorder="1" applyProtection="1"/>
    <xf numFmtId="0" fontId="0" fillId="9" borderId="0" xfId="0" applyFill="1" applyBorder="1" applyProtection="1"/>
    <xf numFmtId="0" fontId="0" fillId="0" borderId="67" xfId="0" applyBorder="1" applyAlignment="1">
      <alignment horizontal="left"/>
    </xf>
    <xf numFmtId="0" fontId="32" fillId="0" borderId="81" xfId="0" applyFont="1" applyBorder="1" applyAlignment="1">
      <alignment vertical="top" wrapText="1"/>
    </xf>
    <xf numFmtId="0" fontId="58" fillId="0" borderId="81" xfId="0" applyFont="1" applyBorder="1" applyAlignment="1">
      <alignment vertical="top" wrapText="1"/>
    </xf>
    <xf numFmtId="0" fontId="10" fillId="0" borderId="62" xfId="0" applyFont="1" applyBorder="1" applyAlignment="1">
      <alignment vertical="center" wrapText="1"/>
    </xf>
    <xf numFmtId="14" fontId="0" fillId="0" borderId="0" xfId="0" applyNumberFormat="1" applyAlignment="1">
      <alignment horizontal="left"/>
    </xf>
    <xf numFmtId="49" fontId="34" fillId="0" borderId="0" xfId="0" applyNumberFormat="1" applyFont="1" applyBorder="1" applyAlignment="1">
      <alignment horizontal="left"/>
    </xf>
    <xf numFmtId="0" fontId="34" fillId="0" borderId="0" xfId="0" applyFont="1" applyBorder="1"/>
    <xf numFmtId="0" fontId="34" fillId="0" borderId="0" xfId="0" applyFont="1" applyBorder="1" applyAlignment="1">
      <alignment horizontal="left"/>
    </xf>
    <xf numFmtId="0" fontId="34" fillId="0" borderId="66" xfId="0" applyFont="1" applyBorder="1" applyAlignment="1">
      <alignment horizontal="left"/>
    </xf>
    <xf numFmtId="49" fontId="32" fillId="0" borderId="0" xfId="0" applyNumberFormat="1" applyFont="1" applyBorder="1"/>
    <xf numFmtId="0" fontId="68" fillId="0" borderId="103" xfId="0" applyFont="1" applyBorder="1" applyAlignment="1">
      <alignment horizontal="center"/>
    </xf>
    <xf numFmtId="0" fontId="68" fillId="0" borderId="104" xfId="0" applyFont="1" applyBorder="1" applyAlignment="1">
      <alignment horizontal="center"/>
    </xf>
    <xf numFmtId="175" fontId="68" fillId="0" borderId="105" xfId="1" applyNumberFormat="1" applyFont="1" applyBorder="1" applyAlignment="1">
      <alignment horizontal="center"/>
    </xf>
    <xf numFmtId="0" fontId="68" fillId="0" borderId="106" xfId="0" applyFont="1" applyBorder="1" applyAlignment="1">
      <alignment horizontal="center"/>
    </xf>
    <xf numFmtId="0" fontId="68" fillId="0" borderId="107" xfId="0" applyFont="1" applyBorder="1" applyAlignment="1">
      <alignment horizontal="center"/>
    </xf>
    <xf numFmtId="175" fontId="68" fillId="0" borderId="42" xfId="1" applyNumberFormat="1" applyFont="1" applyBorder="1" applyAlignment="1">
      <alignment horizontal="center"/>
    </xf>
    <xf numFmtId="0" fontId="68" fillId="0" borderId="108" xfId="0" applyFont="1" applyBorder="1" applyAlignment="1">
      <alignment horizontal="center"/>
    </xf>
    <xf numFmtId="0" fontId="68" fillId="0" borderId="109" xfId="0" applyFont="1" applyBorder="1" applyAlignment="1">
      <alignment horizontal="center"/>
    </xf>
    <xf numFmtId="175" fontId="68" fillId="0" borderId="110" xfId="1" applyNumberFormat="1" applyFont="1" applyBorder="1" applyAlignment="1">
      <alignment horizontal="center"/>
    </xf>
    <xf numFmtId="0" fontId="68" fillId="0" borderId="111" xfId="0" applyFont="1" applyBorder="1" applyAlignment="1">
      <alignment horizontal="left" wrapText="1"/>
    </xf>
    <xf numFmtId="0" fontId="68" fillId="0" borderId="112" xfId="0" applyFont="1" applyBorder="1" applyAlignment="1">
      <alignment horizontal="left" wrapText="1"/>
    </xf>
    <xf numFmtId="0" fontId="68" fillId="0" borderId="112" xfId="0" applyFont="1" applyBorder="1" applyAlignment="1">
      <alignment horizontal="left"/>
    </xf>
    <xf numFmtId="0" fontId="68" fillId="0" borderId="113" xfId="0" applyFont="1" applyBorder="1" applyAlignment="1">
      <alignment horizontal="left"/>
    </xf>
    <xf numFmtId="0" fontId="68" fillId="0" borderId="114" xfId="0" applyFont="1" applyBorder="1" applyAlignment="1">
      <alignment horizontal="center"/>
    </xf>
    <xf numFmtId="0" fontId="68" fillId="0" borderId="115" xfId="0" applyFont="1" applyBorder="1" applyAlignment="1">
      <alignment horizontal="center"/>
    </xf>
    <xf numFmtId="0" fontId="68" fillId="0" borderId="116" xfId="0" applyFont="1" applyBorder="1" applyAlignment="1">
      <alignment horizontal="center"/>
    </xf>
    <xf numFmtId="0" fontId="68" fillId="0" borderId="111" xfId="0" applyFont="1" applyBorder="1" applyAlignment="1">
      <alignment horizontal="center" vertical="center"/>
    </xf>
    <xf numFmtId="0" fontId="68" fillId="0" borderId="105" xfId="0" applyFont="1" applyBorder="1" applyAlignment="1">
      <alignment horizontal="center" vertical="center"/>
    </xf>
    <xf numFmtId="0" fontId="68" fillId="0" borderId="117" xfId="0" applyFont="1" applyBorder="1" applyAlignment="1">
      <alignment horizontal="center" vertical="center"/>
    </xf>
    <xf numFmtId="0" fontId="68" fillId="0" borderId="112" xfId="0" applyFont="1" applyBorder="1" applyAlignment="1">
      <alignment horizontal="center" vertical="center"/>
    </xf>
    <xf numFmtId="0" fontId="68" fillId="0" borderId="42" xfId="0" applyFont="1" applyBorder="1" applyAlignment="1">
      <alignment horizontal="center" vertical="center"/>
    </xf>
    <xf numFmtId="0" fontId="68" fillId="0" borderId="118" xfId="0" applyFont="1" applyBorder="1" applyAlignment="1">
      <alignment horizontal="center" vertical="center"/>
    </xf>
    <xf numFmtId="0" fontId="68" fillId="0" borderId="113" xfId="0" applyFont="1" applyBorder="1" applyAlignment="1">
      <alignment horizontal="center" vertical="center"/>
    </xf>
    <xf numFmtId="0" fontId="68" fillId="0" borderId="110" xfId="0" applyFont="1" applyBorder="1" applyAlignment="1">
      <alignment horizontal="center" vertical="center"/>
    </xf>
    <xf numFmtId="0" fontId="68" fillId="0" borderId="119" xfId="0" applyFont="1" applyBorder="1" applyAlignment="1">
      <alignment horizontal="center" vertical="center"/>
    </xf>
    <xf numFmtId="0" fontId="68" fillId="0" borderId="117" xfId="0" applyFont="1" applyBorder="1" applyAlignment="1">
      <alignment horizontal="left"/>
    </xf>
    <xf numFmtId="0" fontId="68" fillId="0" borderId="118" xfId="0" applyFont="1" applyBorder="1" applyAlignment="1">
      <alignment horizontal="left"/>
    </xf>
    <xf numFmtId="0" fontId="68" fillId="0" borderId="119" xfId="0" applyFont="1" applyBorder="1" applyAlignment="1">
      <alignment horizontal="left"/>
    </xf>
    <xf numFmtId="0" fontId="10" fillId="0" borderId="24" xfId="0" applyFont="1" applyBorder="1" applyAlignment="1">
      <alignment vertical="center" wrapText="1"/>
    </xf>
    <xf numFmtId="0" fontId="10" fillId="0" borderId="24" xfId="0" applyFont="1" applyBorder="1" applyAlignment="1">
      <alignment horizontal="center" vertical="center" wrapText="1"/>
    </xf>
    <xf numFmtId="0" fontId="10" fillId="0" borderId="62" xfId="0" applyFont="1" applyBorder="1" applyAlignment="1">
      <alignment horizontal="center" vertical="center" wrapText="1"/>
    </xf>
    <xf numFmtId="0" fontId="10" fillId="0" borderId="102" xfId="0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62" xfId="0" applyBorder="1" applyAlignment="1">
      <alignment horizontal="center" vertical="center" wrapText="1"/>
    </xf>
    <xf numFmtId="165" fontId="0" fillId="0" borderId="120" xfId="0" applyNumberFormat="1" applyFill="1" applyBorder="1" applyAlignment="1">
      <alignment horizontal="center"/>
    </xf>
    <xf numFmtId="165" fontId="0" fillId="0" borderId="78" xfId="0" applyNumberFormat="1" applyFill="1" applyBorder="1" applyAlignment="1">
      <alignment horizontal="center"/>
    </xf>
    <xf numFmtId="165" fontId="0" fillId="0" borderId="72" xfId="0" applyNumberFormat="1" applyFill="1" applyBorder="1" applyAlignment="1">
      <alignment horizontal="center"/>
    </xf>
    <xf numFmtId="165" fontId="0" fillId="0" borderId="67" xfId="0" applyNumberFormat="1" applyFill="1" applyBorder="1" applyAlignment="1">
      <alignment horizontal="center"/>
    </xf>
    <xf numFmtId="0" fontId="0" fillId="0" borderId="60" xfId="0" applyFill="1" applyBorder="1"/>
    <xf numFmtId="165" fontId="0" fillId="0" borderId="121" xfId="0" applyNumberFormat="1" applyFill="1" applyBorder="1" applyAlignment="1">
      <alignment horizontal="center"/>
    </xf>
    <xf numFmtId="0" fontId="60" fillId="0" borderId="15" xfId="0" applyFont="1" applyFill="1" applyBorder="1"/>
    <xf numFmtId="0" fontId="60" fillId="0" borderId="60" xfId="0" applyFont="1" applyFill="1" applyBorder="1"/>
    <xf numFmtId="0" fontId="60" fillId="0" borderId="60" xfId="0" applyFont="1" applyFill="1" applyBorder="1" applyAlignment="1">
      <alignment horizontal="center"/>
    </xf>
    <xf numFmtId="165" fontId="0" fillId="0" borderId="66" xfId="0" applyNumberFormat="1" applyFill="1" applyBorder="1" applyAlignment="1">
      <alignment horizontal="center"/>
    </xf>
    <xf numFmtId="164" fontId="0" fillId="0" borderId="70" xfId="0" applyNumberFormat="1" applyFill="1" applyBorder="1" applyAlignment="1">
      <alignment horizontal="left"/>
    </xf>
    <xf numFmtId="0" fontId="0" fillId="0" borderId="96" xfId="0" applyFill="1" applyBorder="1"/>
    <xf numFmtId="164" fontId="0" fillId="0" borderId="74" xfId="0" applyNumberFormat="1" applyFill="1" applyBorder="1" applyAlignment="1">
      <alignment horizontal="left"/>
    </xf>
    <xf numFmtId="0" fontId="0" fillId="0" borderId="94" xfId="0" applyFill="1" applyBorder="1"/>
    <xf numFmtId="164" fontId="0" fillId="0" borderId="91" xfId="0" quotePrefix="1" applyNumberFormat="1" applyFill="1" applyBorder="1" applyAlignment="1">
      <alignment horizontal="left"/>
    </xf>
    <xf numFmtId="164" fontId="0" fillId="0" borderId="93" xfId="0" quotePrefix="1" applyNumberFormat="1" applyFill="1" applyBorder="1" applyAlignment="1">
      <alignment horizontal="left"/>
    </xf>
    <xf numFmtId="0" fontId="62" fillId="0" borderId="15" xfId="0" applyFont="1" applyFill="1" applyBorder="1" applyAlignment="1"/>
    <xf numFmtId="164" fontId="0" fillId="0" borderId="73" xfId="0" quotePrefix="1" applyNumberFormat="1" applyFill="1" applyBorder="1" applyAlignment="1">
      <alignment horizontal="left"/>
    </xf>
    <xf numFmtId="0" fontId="62" fillId="0" borderId="0" xfId="0" applyFont="1" applyFill="1" applyBorder="1" applyAlignment="1"/>
    <xf numFmtId="1" fontId="14" fillId="0" borderId="25" xfId="3" applyNumberFormat="1" applyFont="1" applyBorder="1" applyAlignment="1" applyProtection="1">
      <alignment horizontal="center"/>
      <protection locked="0"/>
    </xf>
    <xf numFmtId="14" fontId="1" fillId="0" borderId="24" xfId="3" applyNumberFormat="1" applyFont="1" applyBorder="1" applyAlignment="1" applyProtection="1">
      <alignment horizontal="center"/>
      <protection locked="0"/>
    </xf>
    <xf numFmtId="173" fontId="1" fillId="0" borderId="122" xfId="3" applyNumberFormat="1" applyFont="1" applyBorder="1" applyAlignment="1" applyProtection="1">
      <alignment horizontal="center"/>
      <protection locked="0"/>
    </xf>
    <xf numFmtId="0" fontId="14" fillId="0" borderId="88" xfId="3" applyFont="1" applyBorder="1" applyAlignment="1" applyProtection="1">
      <alignment horizontal="center"/>
      <protection locked="0"/>
    </xf>
    <xf numFmtId="0" fontId="0" fillId="0" borderId="123" xfId="0" applyBorder="1" applyAlignment="1">
      <alignment horizontal="center"/>
    </xf>
    <xf numFmtId="0" fontId="0" fillId="0" borderId="124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126" xfId="0" applyBorder="1" applyAlignment="1">
      <alignment horizontal="center"/>
    </xf>
    <xf numFmtId="0" fontId="0" fillId="0" borderId="127" xfId="0" applyBorder="1" applyAlignment="1">
      <alignment horizontal="center"/>
    </xf>
    <xf numFmtId="0" fontId="0" fillId="0" borderId="128" xfId="0" applyBorder="1" applyAlignment="1">
      <alignment horizontal="center"/>
    </xf>
    <xf numFmtId="0" fontId="0" fillId="0" borderId="129" xfId="0" applyBorder="1" applyAlignment="1">
      <alignment horizontal="center"/>
    </xf>
    <xf numFmtId="0" fontId="0" fillId="0" borderId="130" xfId="0" applyBorder="1" applyAlignment="1">
      <alignment horizontal="center"/>
    </xf>
    <xf numFmtId="0" fontId="14" fillId="0" borderId="0" xfId="0" applyFont="1" applyAlignment="1">
      <alignment horizontal="center" vertical="center"/>
    </xf>
    <xf numFmtId="0" fontId="0" fillId="0" borderId="73" xfId="0" applyBorder="1" applyAlignment="1">
      <alignment wrapText="1"/>
    </xf>
    <xf numFmtId="0" fontId="14" fillId="3" borderId="0" xfId="0" applyNumberFormat="1" applyFont="1" applyFill="1"/>
    <xf numFmtId="0" fontId="14" fillId="3" borderId="0" xfId="0" applyFont="1" applyFill="1" applyAlignment="1">
      <alignment horizontal="center"/>
    </xf>
    <xf numFmtId="178" fontId="14" fillId="3" borderId="0" xfId="0" applyNumberFormat="1" applyFont="1" applyFill="1" applyAlignment="1">
      <alignment horizontal="center"/>
    </xf>
    <xf numFmtId="0" fontId="14" fillId="0" borderId="70" xfId="0" applyFont="1" applyBorder="1" applyAlignment="1">
      <alignment vertical="center" wrapText="1"/>
    </xf>
    <xf numFmtId="0" fontId="14" fillId="0" borderId="73" xfId="0" applyFont="1" applyBorder="1" applyAlignment="1">
      <alignment vertical="center" wrapText="1"/>
    </xf>
    <xf numFmtId="9" fontId="5" fillId="0" borderId="0" xfId="4" applyFont="1" applyFill="1" applyBorder="1" applyAlignment="1">
      <alignment horizontal="left"/>
    </xf>
    <xf numFmtId="0" fontId="14" fillId="0" borderId="74" xfId="0" applyFont="1" applyBorder="1" applyAlignment="1">
      <alignment vertical="center" wrapText="1"/>
    </xf>
    <xf numFmtId="0" fontId="5" fillId="0" borderId="0" xfId="0" applyFont="1"/>
    <xf numFmtId="9" fontId="14" fillId="0" borderId="0" xfId="4" applyFont="1" applyFill="1" applyBorder="1" applyAlignment="1">
      <alignment horizontal="left"/>
    </xf>
    <xf numFmtId="0" fontId="69" fillId="0" borderId="0" xfId="0" applyFont="1"/>
    <xf numFmtId="0" fontId="14" fillId="0" borderId="0" xfId="0" applyFont="1" applyFill="1" applyAlignment="1">
      <alignment wrapText="1"/>
    </xf>
    <xf numFmtId="0" fontId="14" fillId="4" borderId="0" xfId="0" applyFont="1" applyFill="1" applyAlignment="1">
      <alignment wrapText="1"/>
    </xf>
    <xf numFmtId="0" fontId="0" fillId="0" borderId="0" xfId="0" applyAlignment="1">
      <alignment wrapText="1"/>
    </xf>
    <xf numFmtId="0" fontId="14" fillId="4" borderId="70" xfId="0" applyFont="1" applyFill="1" applyBorder="1" applyAlignment="1">
      <alignment wrapText="1"/>
    </xf>
    <xf numFmtId="0" fontId="0" fillId="4" borderId="72" xfId="0" applyFill="1" applyBorder="1"/>
    <xf numFmtId="1" fontId="14" fillId="3" borderId="75" xfId="4" applyNumberFormat="1" applyFont="1" applyFill="1" applyBorder="1" applyAlignment="1">
      <alignment horizontal="center"/>
    </xf>
    <xf numFmtId="3" fontId="14" fillId="4" borderId="95" xfId="4" applyNumberFormat="1" applyFont="1" applyFill="1" applyBorder="1" applyAlignment="1">
      <alignment horizontal="center"/>
    </xf>
    <xf numFmtId="0" fontId="0" fillId="0" borderId="73" xfId="0" applyBorder="1" applyAlignment="1">
      <alignment vertical="center" wrapText="1"/>
    </xf>
    <xf numFmtId="0" fontId="14" fillId="5" borderId="73" xfId="0" applyFont="1" applyFill="1" applyBorder="1" applyAlignment="1">
      <alignment wrapText="1"/>
    </xf>
    <xf numFmtId="0" fontId="14" fillId="5" borderId="74" xfId="0" applyFont="1" applyFill="1" applyBorder="1" applyAlignment="1">
      <alignment vertical="center" wrapText="1"/>
    </xf>
    <xf numFmtId="0" fontId="31" fillId="0" borderId="0" xfId="0" applyFont="1" applyAlignment="1">
      <alignment horizontal="center"/>
    </xf>
    <xf numFmtId="0" fontId="34" fillId="0" borderId="99" xfId="0" applyFont="1" applyBorder="1" applyAlignment="1">
      <alignment horizontal="left"/>
    </xf>
    <xf numFmtId="0" fontId="34" fillId="0" borderId="120" xfId="0" applyFont="1" applyBorder="1" applyAlignment="1">
      <alignment horizontal="left"/>
    </xf>
    <xf numFmtId="0" fontId="34" fillId="0" borderId="15" xfId="0" applyFont="1" applyBorder="1" applyAlignment="1">
      <alignment horizontal="left"/>
    </xf>
    <xf numFmtId="0" fontId="34" fillId="0" borderId="78" xfId="0" applyFont="1" applyBorder="1" applyAlignment="1">
      <alignment horizontal="left"/>
    </xf>
    <xf numFmtId="0" fontId="32" fillId="0" borderId="135" xfId="0" applyFont="1" applyBorder="1" applyAlignment="1">
      <alignment horizontal="left"/>
    </xf>
    <xf numFmtId="0" fontId="32" fillId="0" borderId="136" xfId="0" applyFont="1" applyBorder="1" applyAlignment="1">
      <alignment horizontal="left"/>
    </xf>
    <xf numFmtId="49" fontId="67" fillId="0" borderId="70" xfId="0" applyNumberFormat="1" applyFont="1" applyBorder="1" applyAlignment="1">
      <alignment horizontal="left"/>
    </xf>
    <xf numFmtId="49" fontId="67" fillId="0" borderId="71" xfId="0" applyNumberFormat="1" applyFont="1" applyBorder="1" applyAlignment="1">
      <alignment horizontal="left"/>
    </xf>
    <xf numFmtId="49" fontId="67" fillId="0" borderId="73" xfId="0" applyNumberFormat="1" applyFont="1" applyBorder="1" applyAlignment="1">
      <alignment horizontal="left"/>
    </xf>
    <xf numFmtId="49" fontId="67" fillId="0" borderId="0" xfId="0" applyNumberFormat="1" applyFont="1" applyBorder="1" applyAlignment="1">
      <alignment horizontal="left"/>
    </xf>
    <xf numFmtId="0" fontId="32" fillId="0" borderId="15" xfId="0" applyFont="1" applyBorder="1" applyAlignment="1">
      <alignment horizontal="left"/>
    </xf>
    <xf numFmtId="0" fontId="32" fillId="0" borderId="78" xfId="0" applyFont="1" applyBorder="1" applyAlignment="1">
      <alignment horizontal="left"/>
    </xf>
    <xf numFmtId="0" fontId="27" fillId="0" borderId="133" xfId="0" applyFont="1" applyBorder="1" applyAlignment="1">
      <alignment horizontal="center"/>
    </xf>
    <xf numFmtId="0" fontId="27" fillId="0" borderId="64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25" fillId="0" borderId="0" xfId="0" applyFont="1" applyBorder="1" applyAlignment="1">
      <alignment horizontal="left"/>
    </xf>
    <xf numFmtId="0" fontId="26" fillId="0" borderId="62" xfId="0" applyFont="1" applyFill="1" applyBorder="1" applyAlignment="1">
      <alignment horizontal="left"/>
    </xf>
    <xf numFmtId="0" fontId="27" fillId="0" borderId="70" xfId="0" applyFont="1" applyBorder="1" applyAlignment="1">
      <alignment horizontal="center"/>
    </xf>
    <xf numFmtId="0" fontId="27" fillId="0" borderId="71" xfId="0" applyFont="1" applyBorder="1" applyAlignment="1">
      <alignment horizontal="center"/>
    </xf>
    <xf numFmtId="0" fontId="27" fillId="0" borderId="72" xfId="0" applyFont="1" applyBorder="1" applyAlignment="1">
      <alignment horizontal="center"/>
    </xf>
    <xf numFmtId="0" fontId="27" fillId="0" borderId="95" xfId="0" applyFont="1" applyBorder="1" applyAlignment="1">
      <alignment horizontal="center"/>
    </xf>
    <xf numFmtId="0" fontId="27" fillId="0" borderId="131" xfId="0" applyFont="1" applyBorder="1" applyAlignment="1">
      <alignment horizontal="center"/>
    </xf>
    <xf numFmtId="0" fontId="27" fillId="0" borderId="134" xfId="0" applyFont="1" applyBorder="1" applyAlignment="1">
      <alignment horizontal="center"/>
    </xf>
    <xf numFmtId="0" fontId="27" fillId="0" borderId="63" xfId="0" applyFont="1" applyBorder="1" applyAlignment="1">
      <alignment horizontal="center"/>
    </xf>
    <xf numFmtId="0" fontId="27" fillId="0" borderId="100" xfId="0" applyFont="1" applyBorder="1" applyAlignment="1">
      <alignment horizontal="center"/>
    </xf>
    <xf numFmtId="0" fontId="27" fillId="0" borderId="25" xfId="0" applyFont="1" applyBorder="1" applyAlignment="1">
      <alignment horizontal="center"/>
    </xf>
    <xf numFmtId="0" fontId="28" fillId="0" borderId="96" xfId="0" applyFont="1" applyBorder="1" applyAlignment="1">
      <alignment horizontal="center"/>
    </xf>
    <xf numFmtId="0" fontId="28" fillId="0" borderId="23" xfId="0" applyFont="1" applyBorder="1" applyAlignment="1">
      <alignment horizontal="center"/>
    </xf>
    <xf numFmtId="0" fontId="28" fillId="0" borderId="132" xfId="0" applyFont="1" applyBorder="1" applyAlignment="1">
      <alignment horizontal="center" wrapText="1"/>
    </xf>
    <xf numFmtId="0" fontId="28" fillId="0" borderId="24" xfId="0" applyFont="1" applyBorder="1" applyAlignment="1">
      <alignment horizontal="center" wrapText="1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/>
    <xf numFmtId="0" fontId="24" fillId="0" borderId="72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top" wrapText="1"/>
    </xf>
    <xf numFmtId="0" fontId="24" fillId="0" borderId="71" xfId="0" applyFont="1" applyBorder="1" applyAlignment="1">
      <alignment horizontal="center" vertical="top" wrapText="1"/>
    </xf>
    <xf numFmtId="0" fontId="24" fillId="0" borderId="72" xfId="0" applyFont="1" applyBorder="1" applyAlignment="1">
      <alignment horizontal="center" vertical="top" wrapText="1"/>
    </xf>
    <xf numFmtId="0" fontId="24" fillId="0" borderId="73" xfId="0" applyFont="1" applyBorder="1" applyAlignment="1">
      <alignment horizontal="left" indent="1"/>
    </xf>
    <xf numFmtId="0" fontId="24" fillId="0" borderId="0" xfId="0" applyFont="1" applyBorder="1" applyAlignment="1">
      <alignment horizontal="left" indent="1"/>
    </xf>
    <xf numFmtId="0" fontId="24" fillId="0" borderId="66" xfId="0" applyFont="1" applyBorder="1" applyAlignment="1">
      <alignment horizontal="left" indent="1"/>
    </xf>
    <xf numFmtId="0" fontId="10" fillId="0" borderId="60" xfId="0" applyFont="1" applyBorder="1" applyAlignment="1">
      <alignment horizontal="left"/>
    </xf>
    <xf numFmtId="0" fontId="0" fillId="0" borderId="60" xfId="0" applyBorder="1" applyAlignment="1">
      <alignment horizontal="left"/>
    </xf>
    <xf numFmtId="0" fontId="10" fillId="0" borderId="15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10" fillId="0" borderId="62" xfId="0" applyFont="1" applyBorder="1" applyAlignment="1">
      <alignment vertical="center" wrapText="1"/>
    </xf>
    <xf numFmtId="0" fontId="5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0" fillId="0" borderId="15" xfId="0" applyFont="1" applyBorder="1" applyAlignment="1">
      <alignment horizontal="center"/>
    </xf>
    <xf numFmtId="0" fontId="10" fillId="0" borderId="68" xfId="0" applyFont="1" applyBorder="1" applyAlignment="1">
      <alignment vertical="center" wrapText="1"/>
    </xf>
    <xf numFmtId="0" fontId="0" fillId="0" borderId="60" xfId="0" applyBorder="1" applyAlignment="1">
      <alignment vertical="center" wrapText="1"/>
    </xf>
    <xf numFmtId="0" fontId="0" fillId="0" borderId="61" xfId="0" applyBorder="1" applyAlignment="1">
      <alignment vertical="center" wrapText="1"/>
    </xf>
    <xf numFmtId="0" fontId="10" fillId="0" borderId="0" xfId="0" applyFont="1" applyAlignment="1">
      <alignment horizontal="right"/>
    </xf>
    <xf numFmtId="0" fontId="0" fillId="0" borderId="0" xfId="0" applyAlignment="1">
      <alignment horizontal="right"/>
    </xf>
    <xf numFmtId="181" fontId="10" fillId="0" borderId="60" xfId="0" applyNumberFormat="1" applyFont="1" applyBorder="1" applyAlignment="1">
      <alignment horizontal="center"/>
    </xf>
    <xf numFmtId="0" fontId="10" fillId="0" borderId="60" xfId="0" applyFont="1" applyBorder="1" applyAlignment="1">
      <alignment vertical="center" wrapText="1"/>
    </xf>
    <xf numFmtId="0" fontId="10" fillId="0" borderId="61" xfId="0" applyFont="1" applyBorder="1" applyAlignment="1">
      <alignment vertical="center" wrapText="1"/>
    </xf>
    <xf numFmtId="0" fontId="10" fillId="0" borderId="101" xfId="0" applyFont="1" applyBorder="1" applyAlignment="1">
      <alignment vertical="center" wrapText="1"/>
    </xf>
    <xf numFmtId="0" fontId="0" fillId="0" borderId="99" xfId="0" applyBorder="1" applyAlignment="1">
      <alignment vertical="center" wrapText="1"/>
    </xf>
    <xf numFmtId="0" fontId="0" fillId="0" borderId="92" xfId="0" applyBorder="1" applyAlignment="1">
      <alignment vertical="center" wrapText="1"/>
    </xf>
    <xf numFmtId="0" fontId="10" fillId="0" borderId="24" xfId="0" applyFont="1" applyBorder="1" applyAlignment="1">
      <alignment vertical="center" wrapText="1"/>
    </xf>
    <xf numFmtId="0" fontId="10" fillId="0" borderId="25" xfId="0" applyFont="1" applyBorder="1" applyAlignment="1">
      <alignment vertical="center" wrapText="1"/>
    </xf>
    <xf numFmtId="0" fontId="10" fillId="0" borderId="15" xfId="0" applyFont="1" applyBorder="1" applyAlignment="1">
      <alignment vertical="center" wrapText="1"/>
    </xf>
    <xf numFmtId="0" fontId="10" fillId="0" borderId="23" xfId="0" applyFont="1" applyBorder="1" applyAlignment="1">
      <alignment vertical="center" wrapText="1"/>
    </xf>
    <xf numFmtId="0" fontId="4" fillId="0" borderId="138" xfId="0" applyFont="1" applyBorder="1" applyAlignment="1">
      <alignment horizontal="center" vertical="top" wrapText="1"/>
    </xf>
    <xf numFmtId="0" fontId="4" fillId="0" borderId="102" xfId="0" applyFont="1" applyBorder="1" applyAlignment="1">
      <alignment horizontal="center" vertical="top" wrapText="1"/>
    </xf>
    <xf numFmtId="0" fontId="4" fillId="0" borderId="82" xfId="0" applyFont="1" applyBorder="1" applyAlignment="1">
      <alignment horizontal="center" vertical="top" wrapText="1"/>
    </xf>
    <xf numFmtId="0" fontId="4" fillId="0" borderId="58" xfId="0" applyFont="1" applyBorder="1" applyAlignment="1">
      <alignment horizontal="center" vertical="top" wrapText="1"/>
    </xf>
    <xf numFmtId="0" fontId="4" fillId="0" borderId="100" xfId="0" applyFont="1" applyBorder="1" applyAlignment="1">
      <alignment horizontal="center" vertical="top" wrapText="1"/>
    </xf>
    <xf numFmtId="0" fontId="4" fillId="0" borderId="71" xfId="0" applyFont="1" applyBorder="1" applyAlignment="1">
      <alignment horizontal="center" vertical="top" wrapText="1"/>
    </xf>
    <xf numFmtId="0" fontId="4" fillId="0" borderId="96" xfId="0" applyFont="1" applyBorder="1" applyAlignment="1">
      <alignment horizontal="center" vertical="top" wrapText="1"/>
    </xf>
    <xf numFmtId="0" fontId="4" fillId="0" borderId="79" xfId="0" applyFont="1" applyBorder="1" applyAlignment="1">
      <alignment horizontal="center" vertical="top" wrapText="1"/>
    </xf>
    <xf numFmtId="0" fontId="4" fillId="0" borderId="65" xfId="0" applyFont="1" applyBorder="1" applyAlignment="1">
      <alignment horizontal="center" vertical="top" wrapText="1"/>
    </xf>
    <xf numFmtId="0" fontId="4" fillId="0" borderId="94" xfId="0" applyFont="1" applyBorder="1" applyAlignment="1">
      <alignment horizontal="center" vertical="top" wrapText="1"/>
    </xf>
    <xf numFmtId="0" fontId="4" fillId="0" borderId="102" xfId="0" applyFont="1" applyBorder="1" applyAlignment="1">
      <alignment horizontal="center" vertical="distributed" textRotation="90" wrapText="1"/>
    </xf>
    <xf numFmtId="0" fontId="4" fillId="0" borderId="58" xfId="0" applyFont="1" applyBorder="1" applyAlignment="1">
      <alignment horizontal="center" vertical="distributed" textRotation="90" wrapText="1"/>
    </xf>
    <xf numFmtId="0" fontId="4" fillId="0" borderId="132" xfId="0" applyFont="1" applyBorder="1" applyAlignment="1">
      <alignment horizontal="center" vertical="distributed" textRotation="90" wrapText="1"/>
    </xf>
    <xf numFmtId="0" fontId="4" fillId="0" borderId="86" xfId="0" applyFont="1" applyBorder="1" applyAlignment="1">
      <alignment horizontal="center" vertical="distributed" textRotation="90" wrapText="1"/>
    </xf>
    <xf numFmtId="0" fontId="4" fillId="0" borderId="102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24" fillId="0" borderId="74" xfId="0" applyFont="1" applyBorder="1" applyAlignment="1">
      <alignment horizontal="left" indent="1"/>
    </xf>
    <xf numFmtId="0" fontId="24" fillId="0" borderId="65" xfId="0" applyFont="1" applyBorder="1" applyAlignment="1">
      <alignment horizontal="left" indent="1"/>
    </xf>
    <xf numFmtId="0" fontId="24" fillId="0" borderId="67" xfId="0" applyFont="1" applyBorder="1" applyAlignment="1">
      <alignment horizontal="left" indent="1"/>
    </xf>
    <xf numFmtId="0" fontId="24" fillId="0" borderId="73" xfId="0" applyFont="1" applyBorder="1" applyAlignment="1" applyProtection="1">
      <alignment horizontal="left" indent="1"/>
      <protection locked="0"/>
    </xf>
    <xf numFmtId="0" fontId="24" fillId="0" borderId="0" xfId="0" applyFont="1" applyBorder="1" applyAlignment="1" applyProtection="1">
      <alignment horizontal="left" indent="1"/>
      <protection locked="0"/>
    </xf>
    <xf numFmtId="0" fontId="24" fillId="0" borderId="66" xfId="0" applyFont="1" applyBorder="1" applyAlignment="1" applyProtection="1">
      <alignment horizontal="left" indent="1"/>
      <protection locked="0"/>
    </xf>
    <xf numFmtId="0" fontId="24" fillId="0" borderId="74" xfId="0" applyFont="1" applyBorder="1" applyAlignment="1">
      <alignment horizontal="left" wrapText="1" indent="1"/>
    </xf>
    <xf numFmtId="0" fontId="24" fillId="0" borderId="65" xfId="0" applyFont="1" applyBorder="1" applyAlignment="1">
      <alignment horizontal="left" wrapText="1" indent="1"/>
    </xf>
    <xf numFmtId="0" fontId="24" fillId="0" borderId="67" xfId="0" applyFont="1" applyBorder="1" applyAlignment="1">
      <alignment horizontal="left" wrapText="1" indent="1"/>
    </xf>
    <xf numFmtId="0" fontId="24" fillId="0" borderId="73" xfId="0" applyFont="1" applyBorder="1" applyAlignment="1">
      <alignment horizontal="left" wrapText="1" indent="1"/>
    </xf>
    <xf numFmtId="0" fontId="24" fillId="0" borderId="0" xfId="0" applyFont="1" applyBorder="1" applyAlignment="1">
      <alignment horizontal="left" wrapText="1" indent="1"/>
    </xf>
    <xf numFmtId="0" fontId="24" fillId="0" borderId="66" xfId="0" applyFont="1" applyBorder="1" applyAlignment="1">
      <alignment horizontal="left" wrapText="1" indent="1"/>
    </xf>
    <xf numFmtId="0" fontId="24" fillId="0" borderId="73" xfId="0" applyFont="1" applyBorder="1" applyAlignment="1">
      <alignment horizontal="center"/>
    </xf>
    <xf numFmtId="0" fontId="24" fillId="0" borderId="0" xfId="0" applyFont="1" applyBorder="1" applyAlignment="1">
      <alignment horizontal="center"/>
    </xf>
    <xf numFmtId="0" fontId="24" fillId="0" borderId="66" xfId="0" applyFont="1" applyBorder="1" applyAlignment="1">
      <alignment horizontal="center"/>
    </xf>
    <xf numFmtId="0" fontId="24" fillId="0" borderId="74" xfId="0" applyFont="1" applyBorder="1" applyAlignment="1">
      <alignment horizontal="left"/>
    </xf>
    <xf numFmtId="0" fontId="24" fillId="0" borderId="65" xfId="0" applyFont="1" applyBorder="1" applyAlignment="1">
      <alignment horizontal="left"/>
    </xf>
    <xf numFmtId="0" fontId="24" fillId="0" borderId="67" xfId="0" applyFont="1" applyBorder="1" applyAlignment="1">
      <alignment horizontal="left"/>
    </xf>
    <xf numFmtId="0" fontId="24" fillId="0" borderId="70" xfId="0" applyFont="1" applyBorder="1" applyAlignment="1">
      <alignment horizontal="center"/>
    </xf>
    <xf numFmtId="0" fontId="24" fillId="0" borderId="71" xfId="0" applyFont="1" applyBorder="1" applyAlignment="1">
      <alignment horizontal="center"/>
    </xf>
    <xf numFmtId="0" fontId="24" fillId="0" borderId="72" xfId="0" applyFont="1" applyBorder="1" applyAlignment="1">
      <alignment horizontal="center"/>
    </xf>
    <xf numFmtId="0" fontId="20" fillId="0" borderId="65" xfId="0" applyFont="1" applyBorder="1" applyAlignment="1">
      <alignment horizontal="center"/>
    </xf>
    <xf numFmtId="0" fontId="0" fillId="0" borderId="62" xfId="0" applyBorder="1" applyAlignment="1">
      <alignment horizontal="center" vertical="center" wrapText="1"/>
    </xf>
    <xf numFmtId="0" fontId="0" fillId="0" borderId="62" xfId="0" applyBorder="1" applyAlignment="1">
      <alignment vertical="center" wrapText="1"/>
    </xf>
    <xf numFmtId="0" fontId="54" fillId="11" borderId="70" xfId="0" applyFont="1" applyFill="1" applyBorder="1" applyAlignment="1">
      <alignment horizontal="left"/>
    </xf>
    <xf numFmtId="0" fontId="54" fillId="11" borderId="71" xfId="0" applyFont="1" applyFill="1" applyBorder="1" applyAlignment="1">
      <alignment horizontal="left"/>
    </xf>
    <xf numFmtId="0" fontId="54" fillId="11" borderId="72" xfId="0" applyFont="1" applyFill="1" applyBorder="1" applyAlignment="1">
      <alignment horizontal="left"/>
    </xf>
    <xf numFmtId="0" fontId="54" fillId="0" borderId="74" xfId="0" applyFont="1" applyBorder="1" applyAlignment="1">
      <alignment horizontal="left"/>
    </xf>
    <xf numFmtId="0" fontId="54" fillId="0" borderId="65" xfId="0" applyFont="1" applyBorder="1" applyAlignment="1">
      <alignment horizontal="left"/>
    </xf>
    <xf numFmtId="0" fontId="54" fillId="0" borderId="67" xfId="0" applyFont="1" applyBorder="1" applyAlignment="1">
      <alignment horizontal="left"/>
    </xf>
    <xf numFmtId="0" fontId="54" fillId="11" borderId="70" xfId="0" applyFont="1" applyFill="1" applyBorder="1" applyAlignment="1"/>
    <xf numFmtId="0" fontId="54" fillId="11" borderId="71" xfId="0" applyFont="1" applyFill="1" applyBorder="1" applyAlignment="1"/>
    <xf numFmtId="0" fontId="54" fillId="11" borderId="72" xfId="0" applyFont="1" applyFill="1" applyBorder="1" applyAlignment="1"/>
    <xf numFmtId="0" fontId="10" fillId="2" borderId="74" xfId="0" applyFont="1" applyFill="1" applyBorder="1" applyAlignment="1">
      <alignment horizontal="left"/>
    </xf>
    <xf numFmtId="0" fontId="0" fillId="2" borderId="65" xfId="0" applyFill="1" applyBorder="1" applyAlignment="1">
      <alignment horizontal="left"/>
    </xf>
    <xf numFmtId="0" fontId="0" fillId="2" borderId="67" xfId="0" applyFill="1" applyBorder="1" applyAlignment="1">
      <alignment horizontal="left"/>
    </xf>
    <xf numFmtId="0" fontId="0" fillId="0" borderId="24" xfId="0" applyBorder="1" applyAlignment="1">
      <alignment vertical="center" wrapText="1"/>
    </xf>
    <xf numFmtId="0" fontId="46" fillId="11" borderId="70" xfId="0" applyFont="1" applyFill="1" applyBorder="1" applyAlignment="1">
      <alignment vertical="center"/>
    </xf>
    <xf numFmtId="0" fontId="46" fillId="11" borderId="71" xfId="0" applyFont="1" applyFill="1" applyBorder="1" applyAlignment="1">
      <alignment vertical="center"/>
    </xf>
    <xf numFmtId="0" fontId="46" fillId="11" borderId="72" xfId="0" applyFont="1" applyFill="1" applyBorder="1" applyAlignment="1">
      <alignment vertical="center"/>
    </xf>
    <xf numFmtId="0" fontId="8" fillId="0" borderId="74" xfId="0" applyFont="1" applyFill="1" applyBorder="1" applyAlignment="1">
      <alignment horizontal="left" vertical="center"/>
    </xf>
    <xf numFmtId="0" fontId="8" fillId="0" borderId="65" xfId="0" applyFont="1" applyFill="1" applyBorder="1" applyAlignment="1">
      <alignment horizontal="left" vertical="center"/>
    </xf>
    <xf numFmtId="0" fontId="8" fillId="0" borderId="67" xfId="0" applyFont="1" applyFill="1" applyBorder="1" applyAlignment="1">
      <alignment horizontal="left" vertical="center"/>
    </xf>
    <xf numFmtId="0" fontId="10" fillId="0" borderId="102" xfId="0" applyFont="1" applyBorder="1" applyAlignment="1">
      <alignment horizontal="center" vertical="top" wrapText="1"/>
    </xf>
    <xf numFmtId="0" fontId="21" fillId="0" borderId="62" xfId="0" applyFont="1" applyBorder="1" applyAlignment="1">
      <alignment horizontal="center" vertical="top" wrapText="1"/>
    </xf>
    <xf numFmtId="0" fontId="21" fillId="0" borderId="58" xfId="0" applyFont="1" applyBorder="1" applyAlignment="1">
      <alignment horizontal="center" vertical="top" wrapText="1"/>
    </xf>
    <xf numFmtId="0" fontId="10" fillId="0" borderId="62" xfId="0" applyFont="1" applyBorder="1" applyAlignment="1">
      <alignment horizontal="center" vertical="top" wrapText="1"/>
    </xf>
    <xf numFmtId="0" fontId="10" fillId="0" borderId="58" xfId="0" applyFont="1" applyBorder="1" applyAlignment="1">
      <alignment horizontal="center" vertical="top" wrapText="1"/>
    </xf>
    <xf numFmtId="0" fontId="0" fillId="0" borderId="24" xfId="0" applyBorder="1" applyAlignment="1">
      <alignment horizontal="center" vertical="center" wrapText="1"/>
    </xf>
    <xf numFmtId="0" fontId="10" fillId="0" borderId="62" xfId="0" applyFont="1" applyBorder="1" applyAlignment="1">
      <alignment horizontal="center"/>
    </xf>
    <xf numFmtId="0" fontId="10" fillId="0" borderId="137" xfId="0" applyFont="1" applyBorder="1" applyAlignment="1">
      <alignment horizontal="center" vertical="top" wrapText="1"/>
    </xf>
    <xf numFmtId="0" fontId="10" fillId="0" borderId="81" xfId="0" applyFont="1" applyBorder="1" applyAlignment="1">
      <alignment horizontal="center" vertical="top" wrapText="1"/>
    </xf>
    <xf numFmtId="0" fontId="10" fillId="0" borderId="59" xfId="0" applyFont="1" applyBorder="1" applyAlignment="1">
      <alignment horizontal="center" vertical="top" wrapText="1"/>
    </xf>
    <xf numFmtId="0" fontId="10" fillId="0" borderId="138" xfId="0" applyFont="1" applyFill="1" applyBorder="1" applyAlignment="1">
      <alignment horizontal="center" vertical="top" wrapText="1"/>
    </xf>
    <xf numFmtId="0" fontId="10" fillId="0" borderId="102" xfId="0" applyFont="1" applyFill="1" applyBorder="1" applyAlignment="1">
      <alignment horizontal="center" vertical="top" wrapText="1"/>
    </xf>
    <xf numFmtId="0" fontId="10" fillId="0" borderId="80" xfId="0" applyFont="1" applyFill="1" applyBorder="1" applyAlignment="1">
      <alignment horizontal="center" vertical="top" wrapText="1"/>
    </xf>
    <xf numFmtId="0" fontId="10" fillId="0" borderId="62" xfId="0" applyFont="1" applyFill="1" applyBorder="1" applyAlignment="1">
      <alignment horizontal="center" vertical="top" wrapText="1"/>
    </xf>
    <xf numFmtId="0" fontId="10" fillId="0" borderId="82" xfId="0" applyFont="1" applyFill="1" applyBorder="1" applyAlignment="1">
      <alignment horizontal="center" vertical="top" wrapText="1"/>
    </xf>
    <xf numFmtId="0" fontId="10" fillId="0" borderId="58" xfId="0" applyFont="1" applyFill="1" applyBorder="1" applyAlignment="1">
      <alignment horizontal="center" vertical="top" wrapText="1"/>
    </xf>
    <xf numFmtId="0" fontId="9" fillId="0" borderId="25" xfId="0" applyFont="1" applyBorder="1" applyAlignment="1" applyProtection="1">
      <alignment horizontal="center"/>
      <protection locked="0"/>
    </xf>
    <xf numFmtId="0" fontId="9" fillId="0" borderId="15" xfId="0" applyFont="1" applyBorder="1" applyAlignment="1" applyProtection="1">
      <alignment horizontal="center"/>
      <protection locked="0"/>
    </xf>
    <xf numFmtId="0" fontId="9" fillId="0" borderId="23" xfId="0" applyFont="1" applyBorder="1" applyAlignment="1" applyProtection="1">
      <alignment horizontal="center"/>
      <protection locked="0"/>
    </xf>
    <xf numFmtId="0" fontId="9" fillId="0" borderId="25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38" fillId="0" borderId="25" xfId="0" applyFont="1" applyBorder="1" applyAlignment="1">
      <alignment horizontal="center"/>
    </xf>
    <xf numFmtId="0" fontId="38" fillId="0" borderId="15" xfId="0" applyFont="1" applyBorder="1" applyAlignment="1">
      <alignment horizontal="center"/>
    </xf>
    <xf numFmtId="0" fontId="38" fillId="0" borderId="23" xfId="0" applyFont="1" applyBorder="1" applyAlignment="1">
      <alignment horizontal="center"/>
    </xf>
    <xf numFmtId="0" fontId="20" fillId="0" borderId="15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14" fillId="0" borderId="62" xfId="0" applyFont="1" applyBorder="1" applyAlignment="1">
      <alignment horizontal="center"/>
    </xf>
    <xf numFmtId="0" fontId="14" fillId="0" borderId="19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18" xfId="0" applyBorder="1" applyAlignment="1">
      <alignment horizontal="center"/>
    </xf>
    <xf numFmtId="176" fontId="0" fillId="0" borderId="25" xfId="0" applyNumberFormat="1" applyBorder="1" applyAlignment="1">
      <alignment horizontal="center"/>
    </xf>
    <xf numFmtId="176" fontId="0" fillId="0" borderId="23" xfId="0" applyNumberFormat="1" applyBorder="1" applyAlignment="1">
      <alignment horizontal="center"/>
    </xf>
    <xf numFmtId="0" fontId="14" fillId="0" borderId="20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37" fillId="0" borderId="0" xfId="0" applyFont="1" applyAlignment="1">
      <alignment horizontal="center"/>
    </xf>
    <xf numFmtId="0" fontId="59" fillId="0" borderId="0" xfId="2" applyFont="1" applyFill="1" applyBorder="1" applyAlignment="1" applyProtection="1">
      <alignment horizontal="center" vertical="center"/>
    </xf>
    <xf numFmtId="15" fontId="9" fillId="9" borderId="74" xfId="0" applyNumberFormat="1" applyFont="1" applyFill="1" applyBorder="1" applyAlignment="1" applyProtection="1">
      <alignment horizontal="center"/>
      <protection locked="0"/>
    </xf>
    <xf numFmtId="15" fontId="9" fillId="9" borderId="65" xfId="0" applyNumberFormat="1" applyFont="1" applyFill="1" applyBorder="1" applyAlignment="1" applyProtection="1">
      <alignment horizontal="center"/>
      <protection locked="0"/>
    </xf>
    <xf numFmtId="15" fontId="9" fillId="9" borderId="67" xfId="0" applyNumberFormat="1" applyFont="1" applyFill="1" applyBorder="1" applyAlignment="1" applyProtection="1">
      <alignment horizontal="center"/>
      <protection locked="0"/>
    </xf>
    <xf numFmtId="0" fontId="8" fillId="0" borderId="73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66" xfId="0" applyFont="1" applyBorder="1" applyAlignment="1">
      <alignment horizontal="center"/>
    </xf>
    <xf numFmtId="0" fontId="8" fillId="0" borderId="70" xfId="0" applyFont="1" applyBorder="1" applyAlignment="1">
      <alignment horizontal="left"/>
    </xf>
    <xf numFmtId="0" fontId="8" fillId="0" borderId="71" xfId="0" applyFont="1" applyBorder="1" applyAlignment="1">
      <alignment horizontal="left"/>
    </xf>
    <xf numFmtId="0" fontId="0" fillId="9" borderId="74" xfId="0" applyFill="1" applyBorder="1" applyAlignment="1">
      <alignment horizontal="center"/>
    </xf>
    <xf numFmtId="0" fontId="0" fillId="9" borderId="65" xfId="0" applyFill="1" applyBorder="1" applyAlignment="1">
      <alignment horizontal="center"/>
    </xf>
    <xf numFmtId="0" fontId="0" fillId="9" borderId="67" xfId="0" applyFill="1" applyBorder="1" applyAlignment="1">
      <alignment horizontal="center"/>
    </xf>
    <xf numFmtId="0" fontId="8" fillId="0" borderId="70" xfId="0" applyFont="1" applyBorder="1" applyAlignment="1">
      <alignment horizontal="center"/>
    </xf>
    <xf numFmtId="0" fontId="8" fillId="0" borderId="72" xfId="0" applyFont="1" applyBorder="1" applyAlignment="1">
      <alignment horizontal="center"/>
    </xf>
    <xf numFmtId="0" fontId="8" fillId="0" borderId="71" xfId="0" applyFont="1" applyBorder="1" applyAlignment="1">
      <alignment horizontal="center"/>
    </xf>
    <xf numFmtId="0" fontId="38" fillId="9" borderId="74" xfId="0" applyFont="1" applyFill="1" applyBorder="1" applyAlignment="1" applyProtection="1">
      <alignment horizontal="center"/>
    </xf>
    <xf numFmtId="0" fontId="38" fillId="9" borderId="67" xfId="0" applyFont="1" applyFill="1" applyBorder="1" applyAlignment="1" applyProtection="1">
      <alignment horizontal="center"/>
    </xf>
    <xf numFmtId="0" fontId="8" fillId="9" borderId="70" xfId="0" applyFont="1" applyFill="1" applyBorder="1" applyAlignment="1">
      <alignment horizontal="left"/>
    </xf>
    <xf numFmtId="0" fontId="8" fillId="9" borderId="71" xfId="0" applyFont="1" applyFill="1" applyBorder="1" applyAlignment="1">
      <alignment horizontal="left"/>
    </xf>
    <xf numFmtId="0" fontId="8" fillId="9" borderId="72" xfId="0" applyFont="1" applyFill="1" applyBorder="1" applyAlignment="1">
      <alignment horizontal="left"/>
    </xf>
    <xf numFmtId="0" fontId="37" fillId="5" borderId="0" xfId="0" applyFont="1" applyFill="1" applyAlignment="1">
      <alignment horizontal="center"/>
    </xf>
    <xf numFmtId="0" fontId="37" fillId="5" borderId="69" xfId="0" applyFont="1" applyFill="1" applyBorder="1" applyAlignment="1">
      <alignment horizontal="center"/>
    </xf>
    <xf numFmtId="0" fontId="37" fillId="5" borderId="0" xfId="0" applyFont="1" applyFill="1" applyBorder="1" applyAlignment="1">
      <alignment horizontal="center"/>
    </xf>
    <xf numFmtId="0" fontId="8" fillId="0" borderId="72" xfId="0" applyFont="1" applyBorder="1" applyAlignment="1">
      <alignment horizontal="left"/>
    </xf>
    <xf numFmtId="0" fontId="38" fillId="9" borderId="74" xfId="0" applyFont="1" applyFill="1" applyBorder="1" applyAlignment="1" applyProtection="1">
      <alignment horizontal="center"/>
      <protection locked="0"/>
    </xf>
    <xf numFmtId="0" fontId="38" fillId="9" borderId="65" xfId="0" applyFont="1" applyFill="1" applyBorder="1" applyAlignment="1" applyProtection="1">
      <alignment horizontal="center"/>
      <protection locked="0"/>
    </xf>
    <xf numFmtId="0" fontId="38" fillId="9" borderId="67" xfId="0" applyFont="1" applyFill="1" applyBorder="1" applyAlignment="1" applyProtection="1">
      <alignment horizontal="center"/>
      <protection locked="0"/>
    </xf>
    <xf numFmtId="0" fontId="38" fillId="0" borderId="70" xfId="0" applyFont="1" applyBorder="1" applyAlignment="1">
      <alignment horizontal="left"/>
    </xf>
    <xf numFmtId="0" fontId="38" fillId="0" borderId="71" xfId="0" applyFont="1" applyBorder="1" applyAlignment="1">
      <alignment horizontal="left"/>
    </xf>
    <xf numFmtId="0" fontId="38" fillId="0" borderId="74" xfId="0" applyFont="1" applyFill="1" applyBorder="1" applyAlignment="1" applyProtection="1">
      <alignment horizontal="center"/>
    </xf>
    <xf numFmtId="0" fontId="38" fillId="0" borderId="67" xfId="0" applyFont="1" applyFill="1" applyBorder="1" applyAlignment="1" applyProtection="1">
      <alignment horizontal="center"/>
    </xf>
    <xf numFmtId="0" fontId="2" fillId="0" borderId="139" xfId="0" applyFont="1" applyBorder="1" applyAlignment="1">
      <alignment horizontal="center"/>
    </xf>
    <xf numFmtId="0" fontId="2" fillId="0" borderId="140" xfId="0" applyFont="1" applyBorder="1" applyAlignment="1">
      <alignment horizontal="center"/>
    </xf>
    <xf numFmtId="0" fontId="2" fillId="0" borderId="141" xfId="0" applyFont="1" applyBorder="1" applyAlignment="1">
      <alignment horizontal="center"/>
    </xf>
    <xf numFmtId="0" fontId="4" fillId="0" borderId="73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33" xfId="0" applyFont="1" applyBorder="1" applyAlignment="1">
      <alignment horizontal="left"/>
    </xf>
    <xf numFmtId="0" fontId="4" fillId="0" borderId="79" xfId="0" applyFont="1" applyBorder="1" applyAlignment="1">
      <alignment horizontal="left"/>
    </xf>
    <xf numFmtId="0" fontId="4" fillId="0" borderId="65" xfId="0" applyFont="1" applyBorder="1" applyAlignment="1">
      <alignment horizontal="left"/>
    </xf>
    <xf numFmtId="0" fontId="4" fillId="0" borderId="67" xfId="0" applyFont="1" applyBorder="1" applyAlignment="1">
      <alignment horizontal="left"/>
    </xf>
    <xf numFmtId="0" fontId="0" fillId="9" borderId="15" xfId="0" applyFill="1" applyBorder="1" applyAlignment="1">
      <alignment horizontal="left"/>
    </xf>
    <xf numFmtId="0" fontId="0" fillId="9" borderId="23" xfId="0" applyFill="1" applyBorder="1" applyAlignment="1">
      <alignment horizontal="left"/>
    </xf>
    <xf numFmtId="0" fontId="4" fillId="0" borderId="100" xfId="0" applyFont="1" applyBorder="1" applyAlignment="1">
      <alignment horizontal="left"/>
    </xf>
    <xf numFmtId="0" fontId="4" fillId="0" borderId="71" xfId="0" applyFont="1" applyBorder="1" applyAlignment="1">
      <alignment horizontal="left"/>
    </xf>
    <xf numFmtId="0" fontId="4" fillId="0" borderId="72" xfId="0" applyFont="1" applyBorder="1" applyAlignment="1">
      <alignment horizontal="left"/>
    </xf>
    <xf numFmtId="0" fontId="4" fillId="0" borderId="69" xfId="0" applyFont="1" applyBorder="1" applyAlignment="1">
      <alignment horizontal="left"/>
    </xf>
    <xf numFmtId="0" fontId="4" fillId="0" borderId="66" xfId="0" applyFont="1" applyBorder="1" applyAlignment="1">
      <alignment horizontal="left"/>
    </xf>
    <xf numFmtId="0" fontId="1" fillId="10" borderId="70" xfId="0" applyFont="1" applyFill="1" applyBorder="1" applyAlignment="1">
      <alignment horizontal="left"/>
    </xf>
    <xf numFmtId="0" fontId="1" fillId="10" borderId="96" xfId="0" applyFont="1" applyFill="1" applyBorder="1" applyAlignment="1">
      <alignment horizontal="left"/>
    </xf>
    <xf numFmtId="0" fontId="1" fillId="10" borderId="74" xfId="0" applyFont="1" applyFill="1" applyBorder="1" applyAlignment="1">
      <alignment horizontal="left"/>
    </xf>
    <xf numFmtId="0" fontId="1" fillId="10" borderId="94" xfId="0" applyFont="1" applyFill="1" applyBorder="1" applyAlignment="1">
      <alignment horizontal="left"/>
    </xf>
    <xf numFmtId="0" fontId="1" fillId="10" borderId="101" xfId="0" applyFont="1" applyFill="1" applyBorder="1" applyAlignment="1">
      <alignment horizontal="center"/>
    </xf>
    <xf numFmtId="0" fontId="1" fillId="10" borderId="99" xfId="0" applyFont="1" applyFill="1" applyBorder="1" applyAlignment="1">
      <alignment horizontal="center"/>
    </xf>
    <xf numFmtId="0" fontId="1" fillId="10" borderId="92" xfId="0" applyFont="1" applyFill="1" applyBorder="1" applyAlignment="1">
      <alignment horizontal="center"/>
    </xf>
    <xf numFmtId="0" fontId="1" fillId="10" borderId="100" xfId="0" applyFont="1" applyFill="1" applyBorder="1" applyAlignment="1">
      <alignment horizontal="center"/>
    </xf>
    <xf numFmtId="0" fontId="1" fillId="10" borderId="72" xfId="0" applyFont="1" applyFill="1" applyBorder="1" applyAlignment="1">
      <alignment horizontal="center"/>
    </xf>
    <xf numFmtId="0" fontId="0" fillId="10" borderId="79" xfId="0" applyFill="1" applyBorder="1" applyAlignment="1">
      <alignment horizontal="center"/>
    </xf>
    <xf numFmtId="0" fontId="0" fillId="10" borderId="67" xfId="0" applyFill="1" applyBorder="1" applyAlignment="1">
      <alignment horizontal="center"/>
    </xf>
    <xf numFmtId="0" fontId="20" fillId="10" borderId="91" xfId="0" applyFont="1" applyFill="1" applyBorder="1" applyAlignment="1">
      <alignment horizontal="center"/>
    </xf>
    <xf numFmtId="0" fontId="20" fillId="10" borderId="99" xfId="0" applyFont="1" applyFill="1" applyBorder="1" applyAlignment="1">
      <alignment horizontal="center"/>
    </xf>
    <xf numFmtId="0" fontId="20" fillId="10" borderId="120" xfId="0" applyFont="1" applyFill="1" applyBorder="1" applyAlignment="1">
      <alignment horizontal="center"/>
    </xf>
    <xf numFmtId="0" fontId="61" fillId="10" borderId="91" xfId="0" applyFont="1" applyFill="1" applyBorder="1" applyAlignment="1">
      <alignment horizontal="center"/>
    </xf>
    <xf numFmtId="0" fontId="61" fillId="10" borderId="99" xfId="0" applyFont="1" applyFill="1" applyBorder="1" applyAlignment="1">
      <alignment horizontal="center"/>
    </xf>
    <xf numFmtId="0" fontId="61" fillId="10" borderId="120" xfId="0" applyFont="1" applyFill="1" applyBorder="1" applyAlignment="1">
      <alignment horizontal="center"/>
    </xf>
    <xf numFmtId="0" fontId="37" fillId="5" borderId="70" xfId="0" applyFont="1" applyFill="1" applyBorder="1" applyAlignment="1">
      <alignment horizontal="center"/>
    </xf>
    <xf numFmtId="0" fontId="37" fillId="5" borderId="71" xfId="0" applyFont="1" applyFill="1" applyBorder="1" applyAlignment="1">
      <alignment horizontal="center"/>
    </xf>
    <xf numFmtId="0" fontId="37" fillId="5" borderId="72" xfId="0" applyFont="1" applyFill="1" applyBorder="1" applyAlignment="1">
      <alignment horizontal="center"/>
    </xf>
    <xf numFmtId="0" fontId="37" fillId="5" borderId="74" xfId="0" applyFont="1" applyFill="1" applyBorder="1" applyAlignment="1">
      <alignment horizontal="center"/>
    </xf>
    <xf numFmtId="0" fontId="37" fillId="5" borderId="65" xfId="0" applyFont="1" applyFill="1" applyBorder="1" applyAlignment="1">
      <alignment horizontal="center"/>
    </xf>
    <xf numFmtId="0" fontId="37" fillId="5" borderId="67" xfId="0" applyFont="1" applyFill="1" applyBorder="1" applyAlignment="1">
      <alignment horizontal="center"/>
    </xf>
    <xf numFmtId="0" fontId="38" fillId="0" borderId="74" xfId="0" applyFont="1" applyBorder="1" applyAlignment="1" applyProtection="1">
      <alignment horizontal="center"/>
    </xf>
    <xf numFmtId="0" fontId="38" fillId="0" borderId="67" xfId="0" applyFont="1" applyBorder="1" applyAlignment="1" applyProtection="1">
      <alignment horizontal="center"/>
    </xf>
    <xf numFmtId="164" fontId="0" fillId="10" borderId="70" xfId="0" applyNumberFormat="1" applyFill="1" applyBorder="1" applyAlignment="1">
      <alignment horizontal="left"/>
    </xf>
    <xf numFmtId="164" fontId="0" fillId="10" borderId="96" xfId="0" applyNumberFormat="1" applyFill="1" applyBorder="1" applyAlignment="1">
      <alignment horizontal="left"/>
    </xf>
    <xf numFmtId="164" fontId="0" fillId="10" borderId="74" xfId="0" applyNumberFormat="1" applyFill="1" applyBorder="1" applyAlignment="1">
      <alignment horizontal="left"/>
    </xf>
    <xf numFmtId="164" fontId="0" fillId="10" borderId="94" xfId="0" applyNumberFormat="1" applyFill="1" applyBorder="1" applyAlignment="1">
      <alignment horizontal="left"/>
    </xf>
    <xf numFmtId="0" fontId="0" fillId="7" borderId="99" xfId="0" applyFill="1" applyBorder="1" applyAlignment="1">
      <alignment horizontal="left"/>
    </xf>
    <xf numFmtId="0" fontId="0" fillId="7" borderId="92" xfId="0" applyFill="1" applyBorder="1" applyAlignment="1">
      <alignment horizontal="left"/>
    </xf>
    <xf numFmtId="0" fontId="0" fillId="7" borderId="60" xfId="0" applyFill="1" applyBorder="1" applyAlignment="1">
      <alignment horizontal="left"/>
    </xf>
    <xf numFmtId="0" fontId="0" fillId="7" borderId="61" xfId="0" applyFill="1" applyBorder="1" applyAlignment="1">
      <alignment horizontal="left"/>
    </xf>
    <xf numFmtId="0" fontId="62" fillId="7" borderId="60" xfId="0" applyFont="1" applyFill="1" applyBorder="1" applyAlignment="1">
      <alignment horizontal="left"/>
    </xf>
    <xf numFmtId="0" fontId="62" fillId="7" borderId="61" xfId="0" applyFont="1" applyFill="1" applyBorder="1" applyAlignment="1">
      <alignment horizontal="left"/>
    </xf>
    <xf numFmtId="0" fontId="62" fillId="7" borderId="135" xfId="0" applyFont="1" applyFill="1" applyBorder="1" applyAlignment="1">
      <alignment horizontal="left"/>
    </xf>
    <xf numFmtId="0" fontId="0" fillId="0" borderId="135" xfId="0" applyBorder="1" applyAlignment="1">
      <alignment horizontal="left"/>
    </xf>
    <xf numFmtId="0" fontId="0" fillId="0" borderId="142" xfId="0" applyBorder="1" applyAlignment="1">
      <alignment horizontal="left"/>
    </xf>
    <xf numFmtId="0" fontId="0" fillId="0" borderId="23" xfId="0" applyBorder="1" applyAlignment="1">
      <alignment horizontal="left"/>
    </xf>
    <xf numFmtId="49" fontId="5" fillId="0" borderId="143" xfId="3" applyNumberFormat="1" applyFont="1" applyBorder="1" applyAlignment="1" applyProtection="1">
      <alignment horizontal="left"/>
      <protection locked="0"/>
    </xf>
    <xf numFmtId="49" fontId="5" fillId="0" borderId="144" xfId="3" applyNumberFormat="1" applyFont="1" applyBorder="1" applyAlignment="1" applyProtection="1">
      <alignment horizontal="left"/>
      <protection locked="0"/>
    </xf>
    <xf numFmtId="0" fontId="14" fillId="0" borderId="22" xfId="3" applyFont="1" applyBorder="1" applyAlignment="1" applyProtection="1">
      <alignment horizontal="center"/>
      <protection locked="0"/>
    </xf>
    <xf numFmtId="0" fontId="14" fillId="0" borderId="15" xfId="3" applyFont="1" applyBorder="1" applyAlignment="1" applyProtection="1">
      <alignment horizontal="center"/>
      <protection locked="0"/>
    </xf>
    <xf numFmtId="0" fontId="14" fillId="0" borderId="23" xfId="3" applyFont="1" applyBorder="1" applyAlignment="1" applyProtection="1">
      <alignment horizontal="center"/>
      <protection locked="0"/>
    </xf>
    <xf numFmtId="0" fontId="1" fillId="0" borderId="25" xfId="3" applyFont="1" applyBorder="1" applyAlignment="1" applyProtection="1">
      <alignment horizontal="center"/>
      <protection locked="0"/>
    </xf>
    <xf numFmtId="0" fontId="1" fillId="0" borderId="23" xfId="3" applyFont="1" applyBorder="1" applyAlignment="1" applyProtection="1">
      <alignment horizontal="center"/>
      <protection locked="0"/>
    </xf>
    <xf numFmtId="0" fontId="14" fillId="0" borderId="27" xfId="3" applyFont="1" applyBorder="1" applyAlignment="1" applyProtection="1">
      <alignment horizontal="center" shrinkToFit="1"/>
      <protection locked="0"/>
    </xf>
    <xf numFmtId="0" fontId="14" fillId="0" borderId="0" xfId="3" applyFont="1" applyBorder="1" applyAlignment="1" applyProtection="1">
      <alignment horizontal="center" shrinkToFit="1"/>
      <protection locked="0"/>
    </xf>
    <xf numFmtId="0" fontId="14" fillId="0" borderId="33" xfId="3" applyFont="1" applyBorder="1" applyAlignment="1" applyProtection="1">
      <alignment horizontal="center" shrinkToFit="1"/>
      <protection locked="0"/>
    </xf>
    <xf numFmtId="0" fontId="14" fillId="0" borderId="69" xfId="3" applyFont="1" applyBorder="1" applyAlignment="1" applyProtection="1">
      <alignment horizontal="center"/>
      <protection locked="0"/>
    </xf>
    <xf numFmtId="0" fontId="14" fillId="0" borderId="28" xfId="3" applyFont="1" applyBorder="1" applyAlignment="1" applyProtection="1">
      <alignment horizontal="center"/>
      <protection locked="0"/>
    </xf>
    <xf numFmtId="0" fontId="14" fillId="0" borderId="69" xfId="3" applyFont="1" applyBorder="1" applyAlignment="1" applyProtection="1">
      <alignment horizontal="center"/>
    </xf>
    <xf numFmtId="0" fontId="14" fillId="0" borderId="33" xfId="3" applyFont="1" applyBorder="1" applyAlignment="1" applyProtection="1">
      <alignment horizontal="center"/>
    </xf>
    <xf numFmtId="0" fontId="0" fillId="0" borderId="145" xfId="0" applyBorder="1" applyAlignment="1">
      <alignment horizontal="left"/>
    </xf>
    <xf numFmtId="0" fontId="0" fillId="0" borderId="65" xfId="0" applyBorder="1" applyAlignment="1" applyProtection="1">
      <alignment horizontal="left"/>
      <protection locked="0"/>
    </xf>
    <xf numFmtId="0" fontId="5" fillId="0" borderId="97" xfId="0" applyFont="1" applyBorder="1" applyAlignment="1">
      <alignment horizontal="center"/>
    </xf>
    <xf numFmtId="0" fontId="14" fillId="0" borderId="17" xfId="0" applyFont="1" applyBorder="1" applyAlignment="1"/>
    <xf numFmtId="0" fontId="14" fillId="0" borderId="98" xfId="0" applyFont="1" applyBorder="1" applyAlignment="1"/>
    <xf numFmtId="0" fontId="0" fillId="0" borderId="65" xfId="0" applyBorder="1" applyAlignment="1">
      <alignment horizontal="left"/>
    </xf>
    <xf numFmtId="0" fontId="10" fillId="0" borderId="0" xfId="0" applyFont="1" applyBorder="1" applyAlignment="1" applyProtection="1">
      <alignment horizontal="right"/>
      <protection locked="0"/>
    </xf>
    <xf numFmtId="0" fontId="0" fillId="0" borderId="0" xfId="0" applyBorder="1" applyAlignment="1">
      <alignment horizontal="right"/>
    </xf>
    <xf numFmtId="183" fontId="0" fillId="0" borderId="65" xfId="0" applyNumberFormat="1" applyBorder="1" applyAlignment="1" applyProtection="1">
      <alignment horizontal="center"/>
      <protection locked="0"/>
    </xf>
    <xf numFmtId="183" fontId="10" fillId="0" borderId="65" xfId="0" applyNumberFormat="1" applyFont="1" applyBorder="1" applyAlignment="1" applyProtection="1">
      <alignment horizontal="center"/>
      <protection locked="0"/>
    </xf>
    <xf numFmtId="183" fontId="0" fillId="0" borderId="65" xfId="0" applyNumberFormat="1" applyBorder="1" applyAlignment="1">
      <alignment horizontal="center"/>
    </xf>
    <xf numFmtId="0" fontId="0" fillId="0" borderId="65" xfId="0" applyBorder="1" applyAlignment="1">
      <alignment horizontal="right"/>
    </xf>
    <xf numFmtId="0" fontId="10" fillId="0" borderId="0" xfId="0" applyFont="1" applyBorder="1" applyAlignment="1">
      <alignment horizontal="right"/>
    </xf>
    <xf numFmtId="0" fontId="0" fillId="0" borderId="65" xfId="0" applyBorder="1" applyAlignment="1">
      <alignment horizontal="center"/>
    </xf>
    <xf numFmtId="0" fontId="4" fillId="0" borderId="0" xfId="0" applyFont="1" applyBorder="1" applyAlignment="1">
      <alignment horizontal="right" wrapText="1"/>
    </xf>
    <xf numFmtId="0" fontId="0" fillId="0" borderId="65" xfId="0" applyBorder="1" applyAlignment="1"/>
    <xf numFmtId="0" fontId="0" fillId="0" borderId="140" xfId="0" applyBorder="1" applyAlignment="1">
      <alignment horizontal="left"/>
    </xf>
    <xf numFmtId="0" fontId="4" fillId="0" borderId="0" xfId="0" applyFont="1" applyBorder="1" applyAlignment="1">
      <alignment horizontal="right"/>
    </xf>
    <xf numFmtId="0" fontId="0" fillId="0" borderId="65" xfId="0" applyBorder="1" applyAlignment="1" applyProtection="1">
      <alignment horizontal="center"/>
      <protection locked="0"/>
    </xf>
    <xf numFmtId="0" fontId="4" fillId="0" borderId="0" xfId="0" applyFont="1" applyBorder="1" applyAlignment="1"/>
    <xf numFmtId="0" fontId="0" fillId="0" borderId="0" xfId="0" applyBorder="1" applyAlignment="1"/>
    <xf numFmtId="0" fontId="0" fillId="0" borderId="71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94" xfId="0" applyBorder="1" applyAlignment="1">
      <alignment horizontal="center"/>
    </xf>
    <xf numFmtId="0" fontId="0" fillId="0" borderId="102" xfId="0" applyBorder="1" applyAlignment="1">
      <alignment horizontal="left"/>
    </xf>
    <xf numFmtId="0" fontId="0" fillId="0" borderId="137" xfId="0" applyBorder="1" applyAlignment="1">
      <alignment horizontal="left"/>
    </xf>
    <xf numFmtId="0" fontId="0" fillId="0" borderId="62" xfId="0" applyBorder="1" applyAlignment="1">
      <alignment horizontal="left"/>
    </xf>
    <xf numFmtId="0" fontId="0" fillId="0" borderId="81" xfId="0" applyBorder="1" applyAlignment="1">
      <alignment horizontal="left"/>
    </xf>
    <xf numFmtId="0" fontId="0" fillId="0" borderId="58" xfId="0" applyBorder="1" applyAlignment="1">
      <alignment horizontal="left"/>
    </xf>
    <xf numFmtId="0" fontId="0" fillId="0" borderId="59" xfId="0" applyBorder="1" applyAlignment="1">
      <alignment horizontal="left"/>
    </xf>
    <xf numFmtId="0" fontId="55" fillId="0" borderId="70" xfId="0" applyFont="1" applyBorder="1" applyAlignment="1">
      <alignment horizontal="center"/>
    </xf>
    <xf numFmtId="0" fontId="55" fillId="0" borderId="71" xfId="0" applyFont="1" applyBorder="1" applyAlignment="1">
      <alignment horizontal="center"/>
    </xf>
    <xf numFmtId="0" fontId="0" fillId="0" borderId="74" xfId="0" applyBorder="1" applyAlignment="1">
      <alignment horizontal="left"/>
    </xf>
    <xf numFmtId="0" fontId="45" fillId="0" borderId="0" xfId="0" applyFont="1" applyBorder="1" applyAlignment="1" applyProtection="1">
      <alignment horizontal="left"/>
      <protection locked="0"/>
    </xf>
    <xf numFmtId="0" fontId="45" fillId="0" borderId="66" xfId="0" applyFont="1" applyBorder="1" applyAlignment="1" applyProtection="1">
      <alignment horizontal="left"/>
      <protection locked="0"/>
    </xf>
    <xf numFmtId="0" fontId="10" fillId="0" borderId="80" xfId="0" applyFont="1" applyBorder="1" applyAlignment="1">
      <alignment horizontal="right"/>
    </xf>
    <xf numFmtId="0" fontId="10" fillId="0" borderId="62" xfId="0" applyFont="1" applyBorder="1" applyAlignment="1">
      <alignment horizontal="right"/>
    </xf>
    <xf numFmtId="0" fontId="10" fillId="0" borderId="82" xfId="0" applyFont="1" applyBorder="1" applyAlignment="1">
      <alignment horizontal="right"/>
    </xf>
    <xf numFmtId="0" fontId="10" fillId="0" borderId="58" xfId="0" applyFont="1" applyBorder="1" applyAlignment="1">
      <alignment horizontal="right"/>
    </xf>
    <xf numFmtId="0" fontId="40" fillId="0" borderId="68" xfId="0" applyFont="1" applyBorder="1" applyAlignment="1" applyProtection="1">
      <alignment horizontal="center"/>
      <protection locked="0"/>
    </xf>
    <xf numFmtId="0" fontId="40" fillId="0" borderId="61" xfId="0" applyFont="1" applyBorder="1" applyAlignment="1" applyProtection="1">
      <alignment horizontal="center"/>
      <protection locked="0"/>
    </xf>
    <xf numFmtId="0" fontId="40" fillId="0" borderId="85" xfId="0" applyFont="1" applyBorder="1" applyAlignment="1" applyProtection="1">
      <alignment horizontal="center"/>
      <protection locked="0"/>
    </xf>
    <xf numFmtId="0" fontId="40" fillId="0" borderId="142" xfId="0" applyFont="1" applyBorder="1" applyAlignment="1" applyProtection="1">
      <alignment horizontal="center"/>
      <protection locked="0"/>
    </xf>
    <xf numFmtId="0" fontId="10" fillId="0" borderId="74" xfId="0" applyFont="1" applyBorder="1" applyAlignment="1" applyProtection="1">
      <alignment horizontal="left"/>
      <protection locked="0"/>
    </xf>
    <xf numFmtId="0" fontId="10" fillId="0" borderId="65" xfId="0" applyFont="1" applyBorder="1" applyAlignment="1" applyProtection="1">
      <alignment horizontal="left"/>
      <protection locked="0"/>
    </xf>
    <xf numFmtId="0" fontId="0" fillId="0" borderId="67" xfId="0" applyBorder="1" applyAlignment="1">
      <alignment horizontal="left"/>
    </xf>
    <xf numFmtId="0" fontId="4" fillId="0" borderId="101" xfId="0" applyFont="1" applyBorder="1" applyAlignment="1">
      <alignment horizontal="center"/>
    </xf>
    <xf numFmtId="0" fontId="4" fillId="0" borderId="92" xfId="0" applyFont="1" applyBorder="1" applyAlignment="1">
      <alignment horizontal="center"/>
    </xf>
    <xf numFmtId="0" fontId="4" fillId="0" borderId="79" xfId="0" applyFont="1" applyBorder="1" applyAlignment="1">
      <alignment horizontal="center" vertical="center" wrapText="1"/>
    </xf>
    <xf numFmtId="0" fontId="4" fillId="0" borderId="94" xfId="0" applyFont="1" applyBorder="1" applyAlignment="1">
      <alignment horizontal="center" vertical="center" wrapText="1"/>
    </xf>
    <xf numFmtId="0" fontId="4" fillId="0" borderId="86" xfId="0" applyFont="1" applyBorder="1" applyAlignment="1">
      <alignment horizontal="center" vertical="center" wrapText="1"/>
    </xf>
    <xf numFmtId="0" fontId="0" fillId="0" borderId="86" xfId="0" applyBorder="1" applyAlignment="1">
      <alignment horizontal="center" vertical="center" wrapText="1"/>
    </xf>
    <xf numFmtId="0" fontId="3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1" xfId="0" applyFill="1" applyBorder="1" applyAlignment="1">
      <alignment horizontal="left"/>
    </xf>
    <xf numFmtId="0" fontId="0" fillId="0" borderId="99" xfId="0" applyFill="1" applyBorder="1" applyAlignment="1">
      <alignment horizontal="left"/>
    </xf>
    <xf numFmtId="0" fontId="0" fillId="0" borderId="120" xfId="0" applyFill="1" applyBorder="1" applyAlignment="1">
      <alignment horizontal="left"/>
    </xf>
    <xf numFmtId="0" fontId="0" fillId="0" borderId="85" xfId="0" applyFill="1" applyBorder="1" applyAlignment="1">
      <alignment horizontal="left"/>
    </xf>
    <xf numFmtId="0" fontId="0" fillId="0" borderId="135" xfId="0" applyFill="1" applyBorder="1" applyAlignment="1">
      <alignment horizontal="left"/>
    </xf>
    <xf numFmtId="0" fontId="0" fillId="0" borderId="136" xfId="0" applyFill="1" applyBorder="1" applyAlignment="1">
      <alignment horizontal="left"/>
    </xf>
    <xf numFmtId="0" fontId="10" fillId="0" borderId="138" xfId="0" applyFont="1" applyBorder="1" applyAlignment="1">
      <alignment horizontal="right"/>
    </xf>
    <xf numFmtId="0" fontId="10" fillId="0" borderId="102" xfId="0" applyFont="1" applyBorder="1" applyAlignment="1">
      <alignment horizontal="right"/>
    </xf>
    <xf numFmtId="0" fontId="4" fillId="0" borderId="138" xfId="0" applyFont="1" applyFill="1" applyBorder="1" applyAlignment="1">
      <alignment horizontal="left"/>
    </xf>
    <xf numFmtId="0" fontId="4" fillId="0" borderId="102" xfId="0" applyFont="1" applyFill="1" applyBorder="1" applyAlignment="1">
      <alignment horizontal="left"/>
    </xf>
    <xf numFmtId="0" fontId="4" fillId="0" borderId="82" xfId="0" applyFont="1" applyFill="1" applyBorder="1" applyAlignment="1">
      <alignment horizontal="left"/>
    </xf>
    <xf numFmtId="0" fontId="4" fillId="0" borderId="58" xfId="0" applyFont="1" applyFill="1" applyBorder="1" applyAlignment="1">
      <alignment horizontal="left"/>
    </xf>
    <xf numFmtId="0" fontId="56" fillId="0" borderId="71" xfId="0" applyFont="1" applyBorder="1" applyAlignment="1">
      <alignment horizontal="center"/>
    </xf>
    <xf numFmtId="0" fontId="40" fillId="0" borderId="68" xfId="0" applyFont="1" applyBorder="1" applyAlignment="1" applyProtection="1">
      <alignment horizontal="center" wrapText="1"/>
      <protection locked="0"/>
    </xf>
    <xf numFmtId="0" fontId="0" fillId="0" borderId="61" xfId="0" applyBorder="1" applyAlignment="1">
      <alignment horizontal="center" wrapText="1"/>
    </xf>
    <xf numFmtId="181" fontId="0" fillId="0" borderId="65" xfId="0" applyNumberFormat="1" applyBorder="1" applyAlignment="1" applyProtection="1">
      <alignment horizontal="center"/>
      <protection locked="0"/>
    </xf>
    <xf numFmtId="181" fontId="0" fillId="0" borderId="65" xfId="0" applyNumberFormat="1" applyBorder="1" applyAlignment="1">
      <alignment horizontal="center"/>
    </xf>
    <xf numFmtId="0" fontId="5" fillId="0" borderId="101" xfId="0" applyFont="1" applyBorder="1" applyAlignment="1">
      <alignment horizontal="center" wrapText="1"/>
    </xf>
    <xf numFmtId="0" fontId="0" fillId="0" borderId="92" xfId="0" applyBorder="1" applyAlignment="1">
      <alignment horizontal="center" wrapText="1"/>
    </xf>
    <xf numFmtId="0" fontId="40" fillId="0" borderId="85" xfId="0" applyFont="1" applyBorder="1" applyAlignment="1" applyProtection="1">
      <alignment horizontal="center" wrapText="1"/>
      <protection locked="0"/>
    </xf>
    <xf numFmtId="0" fontId="40" fillId="0" borderId="142" xfId="0" applyFont="1" applyBorder="1" applyAlignment="1" applyProtection="1">
      <alignment horizontal="center" wrapText="1"/>
      <protection locked="0"/>
    </xf>
    <xf numFmtId="0" fontId="4" fillId="0" borderId="70" xfId="0" applyFont="1" applyFill="1" applyBorder="1" applyAlignment="1"/>
    <xf numFmtId="0" fontId="0" fillId="0" borderId="71" xfId="0" applyFill="1" applyBorder="1" applyAlignment="1"/>
    <xf numFmtId="0" fontId="0" fillId="0" borderId="71" xfId="0" applyFill="1" applyBorder="1" applyAlignment="1">
      <alignment horizontal="left"/>
    </xf>
    <xf numFmtId="0" fontId="0" fillId="0" borderId="72" xfId="0" applyFill="1" applyBorder="1" applyAlignment="1">
      <alignment horizontal="left"/>
    </xf>
    <xf numFmtId="0" fontId="10" fillId="0" borderId="71" xfId="0" applyFont="1" applyBorder="1" applyAlignment="1">
      <alignment horizontal="left"/>
    </xf>
    <xf numFmtId="0" fontId="0" fillId="0" borderId="71" xfId="0" applyBorder="1" applyAlignment="1">
      <alignment horizontal="left"/>
    </xf>
    <xf numFmtId="0" fontId="0" fillId="0" borderId="72" xfId="0" applyBorder="1" applyAlignment="1">
      <alignment horizontal="left"/>
    </xf>
    <xf numFmtId="0" fontId="4" fillId="0" borderId="74" xfId="0" applyFont="1" applyFill="1" applyBorder="1" applyAlignment="1">
      <alignment horizontal="left"/>
    </xf>
    <xf numFmtId="0" fontId="0" fillId="0" borderId="65" xfId="0" applyFill="1" applyBorder="1" applyAlignment="1"/>
    <xf numFmtId="0" fontId="0" fillId="0" borderId="65" xfId="0" applyFill="1" applyBorder="1" applyAlignment="1">
      <alignment horizontal="left"/>
    </xf>
    <xf numFmtId="0" fontId="0" fillId="0" borderId="67" xfId="0" applyFill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66" xfId="0" applyBorder="1" applyAlignment="1">
      <alignment horizontal="left"/>
    </xf>
    <xf numFmtId="0" fontId="0" fillId="0" borderId="66" xfId="0" applyBorder="1" applyAlignment="1">
      <alignment horizontal="center"/>
    </xf>
    <xf numFmtId="0" fontId="10" fillId="0" borderId="73" xfId="0" applyFont="1" applyBorder="1" applyAlignment="1">
      <alignment horizontal="left"/>
    </xf>
    <xf numFmtId="0" fontId="45" fillId="0" borderId="139" xfId="0" applyFont="1" applyBorder="1" applyAlignment="1" applyProtection="1">
      <alignment horizontal="center" vertical="center"/>
      <protection locked="0"/>
    </xf>
    <xf numFmtId="0" fontId="45" fillId="0" borderId="140" xfId="0" applyFont="1" applyBorder="1" applyAlignment="1">
      <alignment horizontal="center" vertical="center"/>
    </xf>
    <xf numFmtId="0" fontId="45" fillId="0" borderId="141" xfId="0" applyFont="1" applyBorder="1" applyAlignment="1">
      <alignment horizontal="center" vertical="center"/>
    </xf>
    <xf numFmtId="0" fontId="4" fillId="0" borderId="73" xfId="0" applyFont="1" applyBorder="1" applyAlignment="1"/>
    <xf numFmtId="0" fontId="0" fillId="0" borderId="0" xfId="0" applyAlignment="1"/>
    <xf numFmtId="0" fontId="21" fillId="0" borderId="74" xfId="0" applyFont="1" applyBorder="1" applyAlignment="1" applyProtection="1">
      <alignment horizontal="left"/>
      <protection locked="0"/>
    </xf>
    <xf numFmtId="0" fontId="21" fillId="0" borderId="65" xfId="0" applyFont="1" applyBorder="1" applyAlignment="1">
      <alignment horizontal="center"/>
    </xf>
    <xf numFmtId="0" fontId="0" fillId="0" borderId="67" xfId="0" applyBorder="1" applyAlignment="1">
      <alignment horizontal="center"/>
    </xf>
    <xf numFmtId="0" fontId="10" fillId="0" borderId="74" xfId="0" applyFont="1" applyBorder="1" applyAlignment="1">
      <alignment horizontal="left"/>
    </xf>
    <xf numFmtId="0" fontId="10" fillId="0" borderId="139" xfId="0" applyFont="1" applyBorder="1" applyAlignment="1">
      <alignment horizontal="left"/>
    </xf>
    <xf numFmtId="0" fontId="56" fillId="0" borderId="72" xfId="0" applyFont="1" applyBorder="1" applyAlignment="1">
      <alignment horizontal="center"/>
    </xf>
    <xf numFmtId="181" fontId="0" fillId="0" borderId="67" xfId="0" applyNumberFormat="1" applyBorder="1" applyAlignment="1">
      <alignment horizontal="center"/>
    </xf>
    <xf numFmtId="0" fontId="4" fillId="0" borderId="139" xfId="0" applyFont="1" applyBorder="1" applyAlignment="1">
      <alignment horizontal="center" vertical="center" wrapText="1"/>
    </xf>
    <xf numFmtId="0" fontId="0" fillId="0" borderId="147" xfId="0" applyBorder="1" applyAlignment="1">
      <alignment horizontal="center" vertical="center" wrapText="1"/>
    </xf>
    <xf numFmtId="0" fontId="4" fillId="0" borderId="77" xfId="0" applyFont="1" applyBorder="1" applyAlignment="1">
      <alignment horizontal="left" wrapText="1"/>
    </xf>
    <xf numFmtId="0" fontId="0" fillId="0" borderId="23" xfId="0" applyBorder="1" applyAlignment="1">
      <alignment horizontal="left" wrapText="1"/>
    </xf>
    <xf numFmtId="0" fontId="4" fillId="0" borderId="83" xfId="0" applyFont="1" applyBorder="1" applyAlignment="1">
      <alignment horizontal="center" vertical="center" wrapText="1"/>
    </xf>
    <xf numFmtId="0" fontId="0" fillId="0" borderId="83" xfId="0" applyBorder="1" applyAlignment="1">
      <alignment horizontal="center" vertical="center" wrapText="1"/>
    </xf>
    <xf numFmtId="0" fontId="4" fillId="0" borderId="93" xfId="0" applyFont="1" applyBorder="1" applyAlignment="1">
      <alignment horizontal="left" wrapText="1"/>
    </xf>
    <xf numFmtId="0" fontId="0" fillId="0" borderId="61" xfId="0" applyBorder="1" applyAlignment="1">
      <alignment horizontal="left" wrapText="1"/>
    </xf>
    <xf numFmtId="0" fontId="40" fillId="0" borderId="146" xfId="0" applyFont="1" applyBorder="1" applyAlignment="1" applyProtection="1">
      <alignment horizontal="left" wrapText="1"/>
      <protection locked="0"/>
    </xf>
    <xf numFmtId="0" fontId="0" fillId="0" borderId="142" xfId="0" applyBorder="1" applyAlignment="1">
      <alignment horizontal="left" wrapText="1"/>
    </xf>
    <xf numFmtId="0" fontId="10" fillId="2" borderId="139" xfId="0" applyFont="1" applyFill="1" applyBorder="1" applyAlignment="1">
      <alignment horizontal="left"/>
    </xf>
    <xf numFmtId="0" fontId="0" fillId="2" borderId="140" xfId="0" applyFill="1" applyBorder="1" applyAlignment="1">
      <alignment horizontal="left"/>
    </xf>
    <xf numFmtId="0" fontId="0" fillId="2" borderId="65" xfId="0" applyFill="1" applyBorder="1" applyAlignment="1">
      <alignment horizontal="center"/>
    </xf>
    <xf numFmtId="0" fontId="0" fillId="2" borderId="67" xfId="0" applyFill="1" applyBorder="1" applyAlignment="1">
      <alignment horizontal="center"/>
    </xf>
    <xf numFmtId="0" fontId="5" fillId="3" borderId="0" xfId="0" applyFont="1" applyFill="1" applyAlignment="1">
      <alignment horizontal="left" vertical="top" wrapText="1"/>
    </xf>
    <xf numFmtId="0" fontId="10" fillId="0" borderId="73" xfId="0" applyFont="1" applyBorder="1" applyAlignment="1">
      <alignment horizontal="left" wrapText="1"/>
    </xf>
    <xf numFmtId="0" fontId="10" fillId="0" borderId="0" xfId="0" applyFont="1" applyAlignment="1">
      <alignment horizontal="left" wrapText="1"/>
    </xf>
    <xf numFmtId="0" fontId="0" fillId="0" borderId="0" xfId="0" applyAlignment="1">
      <alignment horizontal="left" wrapText="1"/>
    </xf>
  </cellXfs>
  <cellStyles count="5">
    <cellStyle name="Comma" xfId="1" builtinId="3"/>
    <cellStyle name="Hyperlink" xfId="2" builtinId="8"/>
    <cellStyle name="Normal" xfId="0" builtinId="0"/>
    <cellStyle name="Normal_BMTINSP" xfId="3" xr:uid="{16BEC2B0-AC21-4F9B-B9CF-6499CA4324CD}"/>
    <cellStyle name="Percent" xfId="4" builtinId="5"/>
  </cellStyles>
  <dxfs count="12"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ont>
        <condense val="0"/>
        <extend val="0"/>
        <color auto="1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7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7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12" dropStyle="combo" dx="22" fmlaRange="$A$51:$H$62" noThreeD="1" sel="1" val="0"/>
</file>

<file path=xl/ctrlProps/ctrlProp2.xml><?xml version="1.0" encoding="utf-8"?>
<formControlPr xmlns="http://schemas.microsoft.com/office/spreadsheetml/2009/9/main" objectType="Drop" dropLines="25" dropStyle="combo" dx="22" fmlaRange="$J$51:$R$75" noThreeD="1" sel="1" val="0"/>
</file>

<file path=xl/ctrlProps/ctrlProp3.xml><?xml version="1.0" encoding="utf-8"?>
<formControlPr xmlns="http://schemas.microsoft.com/office/spreadsheetml/2009/9/main" objectType="Drop" dropLines="26" dropStyle="combo" dx="22" fmlaRange="$T$51:$AB$76" noThreeD="1" sel="1" val="0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419100</xdr:colOff>
      <xdr:row>0</xdr:row>
      <xdr:rowOff>0</xdr:rowOff>
    </xdr:from>
    <xdr:to>
      <xdr:col>8</xdr:col>
      <xdr:colOff>266700</xdr:colOff>
      <xdr:row>0</xdr:row>
      <xdr:rowOff>0</xdr:rowOff>
    </xdr:to>
    <xdr:sp macro="" textlink="">
      <xdr:nvSpPr>
        <xdr:cNvPr id="43012" name="Drawing 3">
          <a:extLst>
            <a:ext uri="{FF2B5EF4-FFF2-40B4-BE49-F238E27FC236}">
              <a16:creationId xmlns:a16="http://schemas.microsoft.com/office/drawing/2014/main" id="{9B4D8F22-DC1E-E0FD-1DFE-A7744EC55F4D}"/>
            </a:ext>
          </a:extLst>
        </xdr:cNvPr>
        <xdr:cNvSpPr>
          <a:spLocks/>
        </xdr:cNvSpPr>
      </xdr:nvSpPr>
      <xdr:spPr bwMode="auto">
        <a:xfrm>
          <a:off x="4733925" y="0"/>
          <a:ext cx="0" cy="0"/>
        </a:xfrm>
        <a:custGeom>
          <a:avLst/>
          <a:gdLst>
            <a:gd name="T0" fmla="*/ 8192 w 16384"/>
            <a:gd name="T1" fmla="*/ 16384 h 16384"/>
            <a:gd name="T2" fmla="*/ 16384 w 16384"/>
            <a:gd name="T3" fmla="*/ 0 h 16384"/>
            <a:gd name="T4" fmla="*/ 0 w 16384"/>
            <a:gd name="T5" fmla="*/ 0 h 16384"/>
            <a:gd name="T6" fmla="*/ 8192 w 16384"/>
            <a:gd name="T7" fmla="*/ 16384 h 1638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0" t="0" r="r" b="b"/>
          <a:pathLst>
            <a:path w="16384" h="16384">
              <a:moveTo>
                <a:pt x="8192" y="16384"/>
              </a:moveTo>
              <a:lnTo>
                <a:pt x="16384" y="0"/>
              </a:lnTo>
              <a:lnTo>
                <a:pt x="0" y="0"/>
              </a:lnTo>
              <a:lnTo>
                <a:pt x="8192" y="16384"/>
              </a:lnTo>
              <a:close/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0</xdr:col>
      <xdr:colOff>104775</xdr:colOff>
      <xdr:row>0</xdr:row>
      <xdr:rowOff>0</xdr:rowOff>
    </xdr:from>
    <xdr:to>
      <xdr:col>0</xdr:col>
      <xdr:colOff>219075</xdr:colOff>
      <xdr:row>0</xdr:row>
      <xdr:rowOff>0</xdr:rowOff>
    </xdr:to>
    <xdr:sp macro="" textlink="">
      <xdr:nvSpPr>
        <xdr:cNvPr id="43014" name="Oval 6">
          <a:extLst>
            <a:ext uri="{FF2B5EF4-FFF2-40B4-BE49-F238E27FC236}">
              <a16:creationId xmlns:a16="http://schemas.microsoft.com/office/drawing/2014/main" id="{7FC6D752-842D-F366-2E7F-9EAE1AFB8A82}"/>
            </a:ext>
          </a:extLst>
        </xdr:cNvPr>
        <xdr:cNvSpPr>
          <a:spLocks noChangeArrowheads="1"/>
        </xdr:cNvSpPr>
      </xdr:nvSpPr>
      <xdr:spPr bwMode="auto">
        <a:xfrm>
          <a:off x="104775" y="0"/>
          <a:ext cx="114300" cy="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1</xdr:col>
      <xdr:colOff>66675</xdr:colOff>
      <xdr:row>0</xdr:row>
      <xdr:rowOff>0</xdr:rowOff>
    </xdr:from>
    <xdr:to>
      <xdr:col>1</xdr:col>
      <xdr:colOff>200025</xdr:colOff>
      <xdr:row>0</xdr:row>
      <xdr:rowOff>0</xdr:rowOff>
    </xdr:to>
    <xdr:sp macro="" textlink="">
      <xdr:nvSpPr>
        <xdr:cNvPr id="43015" name="Drawing 8">
          <a:extLst>
            <a:ext uri="{FF2B5EF4-FFF2-40B4-BE49-F238E27FC236}">
              <a16:creationId xmlns:a16="http://schemas.microsoft.com/office/drawing/2014/main" id="{6D3DEACF-2DDD-606B-E04E-1DDCF79DF9DB}"/>
            </a:ext>
          </a:extLst>
        </xdr:cNvPr>
        <xdr:cNvSpPr>
          <a:spLocks/>
        </xdr:cNvSpPr>
      </xdr:nvSpPr>
      <xdr:spPr bwMode="auto">
        <a:xfrm>
          <a:off x="285750" y="0"/>
          <a:ext cx="133350" cy="0"/>
        </a:xfrm>
        <a:custGeom>
          <a:avLst/>
          <a:gdLst>
            <a:gd name="T0" fmla="*/ 0 w 16384"/>
            <a:gd name="T1" fmla="*/ 3511 h 16384"/>
            <a:gd name="T2" fmla="*/ 0 w 16384"/>
            <a:gd name="T3" fmla="*/ 12873 h 16384"/>
            <a:gd name="T4" fmla="*/ 10034 w 16384"/>
            <a:gd name="T5" fmla="*/ 12873 h 16384"/>
            <a:gd name="T6" fmla="*/ 10034 w 16384"/>
            <a:gd name="T7" fmla="*/ 16384 h 16384"/>
            <a:gd name="T8" fmla="*/ 16384 w 16384"/>
            <a:gd name="T9" fmla="*/ 8192 h 16384"/>
            <a:gd name="T10" fmla="*/ 10034 w 16384"/>
            <a:gd name="T11" fmla="*/ 0 h 16384"/>
            <a:gd name="T12" fmla="*/ 10034 w 16384"/>
            <a:gd name="T13" fmla="*/ 3511 h 16384"/>
            <a:gd name="T14" fmla="*/ 0 w 16384"/>
            <a:gd name="T15" fmla="*/ 3511 h 1638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0" t="0" r="r" b="b"/>
          <a:pathLst>
            <a:path w="16384" h="16384">
              <a:moveTo>
                <a:pt x="0" y="3511"/>
              </a:moveTo>
              <a:lnTo>
                <a:pt x="0" y="12873"/>
              </a:lnTo>
              <a:lnTo>
                <a:pt x="10034" y="12873"/>
              </a:lnTo>
              <a:lnTo>
                <a:pt x="10034" y="16384"/>
              </a:lnTo>
              <a:lnTo>
                <a:pt x="16384" y="8192"/>
              </a:lnTo>
              <a:lnTo>
                <a:pt x="10034" y="0"/>
              </a:lnTo>
              <a:lnTo>
                <a:pt x="10034" y="3511"/>
              </a:lnTo>
              <a:lnTo>
                <a:pt x="0" y="3511"/>
              </a:lnTo>
              <a:close/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2</xdr:col>
      <xdr:colOff>123825</xdr:colOff>
      <xdr:row>0</xdr:row>
      <xdr:rowOff>0</xdr:rowOff>
    </xdr:from>
    <xdr:to>
      <xdr:col>2</xdr:col>
      <xdr:colOff>247650</xdr:colOff>
      <xdr:row>0</xdr:row>
      <xdr:rowOff>0</xdr:rowOff>
    </xdr:to>
    <xdr:sp macro="" textlink="">
      <xdr:nvSpPr>
        <xdr:cNvPr id="43016" name="Rectangle 8">
          <a:extLst>
            <a:ext uri="{FF2B5EF4-FFF2-40B4-BE49-F238E27FC236}">
              <a16:creationId xmlns:a16="http://schemas.microsoft.com/office/drawing/2014/main" id="{4A2B1592-7A32-7948-AA98-DB1EFB2CC002}"/>
            </a:ext>
          </a:extLst>
        </xdr:cNvPr>
        <xdr:cNvSpPr>
          <a:spLocks noChangeArrowheads="1"/>
        </xdr:cNvSpPr>
      </xdr:nvSpPr>
      <xdr:spPr bwMode="auto">
        <a:xfrm>
          <a:off x="2305050" y="0"/>
          <a:ext cx="123825" cy="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6</xdr:col>
      <xdr:colOff>600075</xdr:colOff>
      <xdr:row>0</xdr:row>
      <xdr:rowOff>0</xdr:rowOff>
    </xdr:from>
    <xdr:to>
      <xdr:col>6</xdr:col>
      <xdr:colOff>266700</xdr:colOff>
      <xdr:row>0</xdr:row>
      <xdr:rowOff>0</xdr:rowOff>
    </xdr:to>
    <xdr:sp macro="" textlink="">
      <xdr:nvSpPr>
        <xdr:cNvPr id="43018" name="Drawing 12">
          <a:extLst>
            <a:ext uri="{FF2B5EF4-FFF2-40B4-BE49-F238E27FC236}">
              <a16:creationId xmlns:a16="http://schemas.microsoft.com/office/drawing/2014/main" id="{892D1FF3-104F-88BF-5C90-0D92F026C881}"/>
            </a:ext>
          </a:extLst>
        </xdr:cNvPr>
        <xdr:cNvSpPr>
          <a:spLocks/>
        </xdr:cNvSpPr>
      </xdr:nvSpPr>
      <xdr:spPr bwMode="auto">
        <a:xfrm>
          <a:off x="4086225" y="0"/>
          <a:ext cx="0" cy="0"/>
        </a:xfrm>
        <a:custGeom>
          <a:avLst/>
          <a:gdLst>
            <a:gd name="T0" fmla="*/ 0 w 16384"/>
            <a:gd name="T1" fmla="*/ 16384 h 16384"/>
            <a:gd name="T2" fmla="*/ 1038 w 16384"/>
            <a:gd name="T3" fmla="*/ 16235 h 16384"/>
            <a:gd name="T4" fmla="*/ 2538 w 16384"/>
            <a:gd name="T5" fmla="*/ 16161 h 16384"/>
            <a:gd name="T6" fmla="*/ 3461 w 16384"/>
            <a:gd name="T7" fmla="*/ 16310 h 16384"/>
            <a:gd name="T8" fmla="*/ 4154 w 16384"/>
            <a:gd name="T9" fmla="*/ 16384 h 16384"/>
            <a:gd name="T10" fmla="*/ 6807 w 16384"/>
            <a:gd name="T11" fmla="*/ 16310 h 16384"/>
            <a:gd name="T12" fmla="*/ 7730 w 16384"/>
            <a:gd name="T13" fmla="*/ 16235 h 16384"/>
            <a:gd name="T14" fmla="*/ 8769 w 16384"/>
            <a:gd name="T15" fmla="*/ 16086 h 16384"/>
            <a:gd name="T16" fmla="*/ 9577 w 16384"/>
            <a:gd name="T17" fmla="*/ 15863 h 16384"/>
            <a:gd name="T18" fmla="*/ 10961 w 16384"/>
            <a:gd name="T19" fmla="*/ 15267 h 16384"/>
            <a:gd name="T20" fmla="*/ 11884 w 16384"/>
            <a:gd name="T21" fmla="*/ 14820 h 16384"/>
            <a:gd name="T22" fmla="*/ 12923 w 16384"/>
            <a:gd name="T23" fmla="*/ 14150 h 16384"/>
            <a:gd name="T24" fmla="*/ 13846 w 16384"/>
            <a:gd name="T25" fmla="*/ 13703 h 16384"/>
            <a:gd name="T26" fmla="*/ 14307 w 16384"/>
            <a:gd name="T27" fmla="*/ 13256 h 16384"/>
            <a:gd name="T28" fmla="*/ 14884 w 16384"/>
            <a:gd name="T29" fmla="*/ 12735 h 16384"/>
            <a:gd name="T30" fmla="*/ 15461 w 16384"/>
            <a:gd name="T31" fmla="*/ 11990 h 16384"/>
            <a:gd name="T32" fmla="*/ 15807 w 16384"/>
            <a:gd name="T33" fmla="*/ 11171 h 16384"/>
            <a:gd name="T34" fmla="*/ 16153 w 16384"/>
            <a:gd name="T35" fmla="*/ 10426 h 16384"/>
            <a:gd name="T36" fmla="*/ 16269 w 16384"/>
            <a:gd name="T37" fmla="*/ 9756 h 16384"/>
            <a:gd name="T38" fmla="*/ 16384 w 16384"/>
            <a:gd name="T39" fmla="*/ 9160 h 16384"/>
            <a:gd name="T40" fmla="*/ 16269 w 16384"/>
            <a:gd name="T41" fmla="*/ 7447 h 16384"/>
            <a:gd name="T42" fmla="*/ 16153 w 16384"/>
            <a:gd name="T43" fmla="*/ 6479 h 16384"/>
            <a:gd name="T44" fmla="*/ 16038 w 16384"/>
            <a:gd name="T45" fmla="*/ 5958 h 16384"/>
            <a:gd name="T46" fmla="*/ 15922 w 16384"/>
            <a:gd name="T47" fmla="*/ 5362 h 16384"/>
            <a:gd name="T48" fmla="*/ 15576 w 16384"/>
            <a:gd name="T49" fmla="*/ 4692 h 16384"/>
            <a:gd name="T50" fmla="*/ 14769 w 16384"/>
            <a:gd name="T51" fmla="*/ 3947 h 16384"/>
            <a:gd name="T52" fmla="*/ 13961 w 16384"/>
            <a:gd name="T53" fmla="*/ 3426 h 16384"/>
            <a:gd name="T54" fmla="*/ 13384 w 16384"/>
            <a:gd name="T55" fmla="*/ 3128 h 16384"/>
            <a:gd name="T56" fmla="*/ 12923 w 16384"/>
            <a:gd name="T57" fmla="*/ 2607 h 16384"/>
            <a:gd name="T58" fmla="*/ 12230 w 16384"/>
            <a:gd name="T59" fmla="*/ 2085 h 16384"/>
            <a:gd name="T60" fmla="*/ 11192 w 16384"/>
            <a:gd name="T61" fmla="*/ 1341 h 16384"/>
            <a:gd name="T62" fmla="*/ 10384 w 16384"/>
            <a:gd name="T63" fmla="*/ 968 h 16384"/>
            <a:gd name="T64" fmla="*/ 9692 w 16384"/>
            <a:gd name="T65" fmla="*/ 819 h 16384"/>
            <a:gd name="T66" fmla="*/ 8654 w 16384"/>
            <a:gd name="T67" fmla="*/ 596 h 16384"/>
            <a:gd name="T68" fmla="*/ 6807 w 16384"/>
            <a:gd name="T69" fmla="*/ 149 h 16384"/>
            <a:gd name="T70" fmla="*/ 5654 w 16384"/>
            <a:gd name="T71" fmla="*/ 0 h 16384"/>
            <a:gd name="T72" fmla="*/ 2769 w 16384"/>
            <a:gd name="T73" fmla="*/ 74 h 16384"/>
            <a:gd name="T74" fmla="*/ 1385 w 16384"/>
            <a:gd name="T75" fmla="*/ 149 h 16384"/>
            <a:gd name="T76" fmla="*/ 0 w 16384"/>
            <a:gd name="T77" fmla="*/ 74 h 1638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</a:cxnLst>
          <a:rect l="0" t="0" r="r" b="b"/>
          <a:pathLst>
            <a:path w="16384" h="16384">
              <a:moveTo>
                <a:pt x="0" y="74"/>
              </a:moveTo>
              <a:lnTo>
                <a:pt x="0" y="16384"/>
              </a:lnTo>
              <a:lnTo>
                <a:pt x="692" y="16235"/>
              </a:lnTo>
              <a:lnTo>
                <a:pt x="1038" y="16235"/>
              </a:lnTo>
              <a:lnTo>
                <a:pt x="1500" y="16161"/>
              </a:lnTo>
              <a:lnTo>
                <a:pt x="2538" y="16161"/>
              </a:lnTo>
              <a:lnTo>
                <a:pt x="2885" y="16235"/>
              </a:lnTo>
              <a:lnTo>
                <a:pt x="3461" y="16310"/>
              </a:lnTo>
              <a:lnTo>
                <a:pt x="3808" y="16310"/>
              </a:lnTo>
              <a:lnTo>
                <a:pt x="4154" y="16384"/>
              </a:lnTo>
              <a:lnTo>
                <a:pt x="6461" y="16384"/>
              </a:lnTo>
              <a:lnTo>
                <a:pt x="6807" y="16310"/>
              </a:lnTo>
              <a:lnTo>
                <a:pt x="7384" y="16310"/>
              </a:lnTo>
              <a:lnTo>
                <a:pt x="7730" y="16235"/>
              </a:lnTo>
              <a:lnTo>
                <a:pt x="8192" y="16235"/>
              </a:lnTo>
              <a:lnTo>
                <a:pt x="8769" y="16086"/>
              </a:lnTo>
              <a:lnTo>
                <a:pt x="9115" y="15937"/>
              </a:lnTo>
              <a:lnTo>
                <a:pt x="9577" y="15863"/>
              </a:lnTo>
              <a:lnTo>
                <a:pt x="10038" y="15714"/>
              </a:lnTo>
              <a:lnTo>
                <a:pt x="10961" y="15267"/>
              </a:lnTo>
              <a:lnTo>
                <a:pt x="11423" y="15118"/>
              </a:lnTo>
              <a:lnTo>
                <a:pt x="11884" y="14820"/>
              </a:lnTo>
              <a:lnTo>
                <a:pt x="12576" y="14448"/>
              </a:lnTo>
              <a:lnTo>
                <a:pt x="12923" y="14150"/>
              </a:lnTo>
              <a:lnTo>
                <a:pt x="13499" y="13852"/>
              </a:lnTo>
              <a:lnTo>
                <a:pt x="13846" y="13703"/>
              </a:lnTo>
              <a:lnTo>
                <a:pt x="13961" y="13405"/>
              </a:lnTo>
              <a:lnTo>
                <a:pt x="14307" y="13256"/>
              </a:lnTo>
              <a:lnTo>
                <a:pt x="14653" y="12958"/>
              </a:lnTo>
              <a:lnTo>
                <a:pt x="14884" y="12735"/>
              </a:lnTo>
              <a:lnTo>
                <a:pt x="15115" y="12362"/>
              </a:lnTo>
              <a:lnTo>
                <a:pt x="15461" y="11990"/>
              </a:lnTo>
              <a:lnTo>
                <a:pt x="15692" y="11618"/>
              </a:lnTo>
              <a:lnTo>
                <a:pt x="15807" y="11171"/>
              </a:lnTo>
              <a:lnTo>
                <a:pt x="16038" y="10799"/>
              </a:lnTo>
              <a:lnTo>
                <a:pt x="16153" y="10426"/>
              </a:lnTo>
              <a:lnTo>
                <a:pt x="16153" y="10128"/>
              </a:lnTo>
              <a:lnTo>
                <a:pt x="16269" y="9756"/>
              </a:lnTo>
              <a:lnTo>
                <a:pt x="16269" y="9458"/>
              </a:lnTo>
              <a:lnTo>
                <a:pt x="16384" y="9160"/>
              </a:lnTo>
              <a:lnTo>
                <a:pt x="16384" y="7671"/>
              </a:lnTo>
              <a:lnTo>
                <a:pt x="16269" y="7447"/>
              </a:lnTo>
              <a:lnTo>
                <a:pt x="16269" y="6926"/>
              </a:lnTo>
              <a:lnTo>
                <a:pt x="16153" y="6479"/>
              </a:lnTo>
              <a:lnTo>
                <a:pt x="16038" y="6256"/>
              </a:lnTo>
              <a:lnTo>
                <a:pt x="16038" y="5958"/>
              </a:lnTo>
              <a:lnTo>
                <a:pt x="15922" y="5585"/>
              </a:lnTo>
              <a:lnTo>
                <a:pt x="15922" y="5362"/>
              </a:lnTo>
              <a:lnTo>
                <a:pt x="15807" y="4990"/>
              </a:lnTo>
              <a:lnTo>
                <a:pt x="15576" y="4692"/>
              </a:lnTo>
              <a:lnTo>
                <a:pt x="15115" y="4245"/>
              </a:lnTo>
              <a:lnTo>
                <a:pt x="14769" y="3947"/>
              </a:lnTo>
              <a:lnTo>
                <a:pt x="14307" y="3724"/>
              </a:lnTo>
              <a:lnTo>
                <a:pt x="13961" y="3426"/>
              </a:lnTo>
              <a:lnTo>
                <a:pt x="13730" y="3202"/>
              </a:lnTo>
              <a:lnTo>
                <a:pt x="13384" y="3128"/>
              </a:lnTo>
              <a:lnTo>
                <a:pt x="13269" y="2830"/>
              </a:lnTo>
              <a:lnTo>
                <a:pt x="12923" y="2607"/>
              </a:lnTo>
              <a:lnTo>
                <a:pt x="12692" y="2383"/>
              </a:lnTo>
              <a:lnTo>
                <a:pt x="12230" y="2085"/>
              </a:lnTo>
              <a:lnTo>
                <a:pt x="11884" y="1787"/>
              </a:lnTo>
              <a:lnTo>
                <a:pt x="11192" y="1341"/>
              </a:lnTo>
              <a:lnTo>
                <a:pt x="10730" y="1192"/>
              </a:lnTo>
              <a:lnTo>
                <a:pt x="10384" y="968"/>
              </a:lnTo>
              <a:lnTo>
                <a:pt x="10038" y="819"/>
              </a:lnTo>
              <a:lnTo>
                <a:pt x="9692" y="819"/>
              </a:lnTo>
              <a:lnTo>
                <a:pt x="9115" y="596"/>
              </a:lnTo>
              <a:lnTo>
                <a:pt x="8654" y="596"/>
              </a:lnTo>
              <a:lnTo>
                <a:pt x="8192" y="447"/>
              </a:lnTo>
              <a:lnTo>
                <a:pt x="6807" y="149"/>
              </a:lnTo>
              <a:lnTo>
                <a:pt x="6346" y="149"/>
              </a:lnTo>
              <a:lnTo>
                <a:pt x="5654" y="0"/>
              </a:lnTo>
              <a:lnTo>
                <a:pt x="3115" y="0"/>
              </a:lnTo>
              <a:lnTo>
                <a:pt x="2769" y="74"/>
              </a:lnTo>
              <a:lnTo>
                <a:pt x="1731" y="74"/>
              </a:lnTo>
              <a:lnTo>
                <a:pt x="1385" y="149"/>
              </a:lnTo>
              <a:lnTo>
                <a:pt x="692" y="149"/>
              </a:lnTo>
              <a:lnTo>
                <a:pt x="0" y="74"/>
              </a:lnTo>
              <a:close/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3</xdr:col>
      <xdr:colOff>85725</xdr:colOff>
      <xdr:row>0</xdr:row>
      <xdr:rowOff>0</xdr:rowOff>
    </xdr:from>
    <xdr:to>
      <xdr:col>3</xdr:col>
      <xdr:colOff>219075</xdr:colOff>
      <xdr:row>0</xdr:row>
      <xdr:rowOff>0</xdr:rowOff>
    </xdr:to>
    <xdr:sp macro="" textlink="">
      <xdr:nvSpPr>
        <xdr:cNvPr id="43019" name="Drawing 13">
          <a:extLst>
            <a:ext uri="{FF2B5EF4-FFF2-40B4-BE49-F238E27FC236}">
              <a16:creationId xmlns:a16="http://schemas.microsoft.com/office/drawing/2014/main" id="{E31C8C7A-728E-B9BD-21D4-0F8CBCF8A6E7}"/>
            </a:ext>
          </a:extLst>
        </xdr:cNvPr>
        <xdr:cNvSpPr>
          <a:spLocks/>
        </xdr:cNvSpPr>
      </xdr:nvSpPr>
      <xdr:spPr bwMode="auto">
        <a:xfrm>
          <a:off x="2876550" y="0"/>
          <a:ext cx="133350" cy="0"/>
        </a:xfrm>
        <a:custGeom>
          <a:avLst/>
          <a:gdLst>
            <a:gd name="T0" fmla="*/ 0 w 16384"/>
            <a:gd name="T1" fmla="*/ 16384 h 16384"/>
            <a:gd name="T2" fmla="*/ 1038 w 16384"/>
            <a:gd name="T3" fmla="*/ 16235 h 16384"/>
            <a:gd name="T4" fmla="*/ 2538 w 16384"/>
            <a:gd name="T5" fmla="*/ 16161 h 16384"/>
            <a:gd name="T6" fmla="*/ 3461 w 16384"/>
            <a:gd name="T7" fmla="*/ 16310 h 16384"/>
            <a:gd name="T8" fmla="*/ 4154 w 16384"/>
            <a:gd name="T9" fmla="*/ 16384 h 16384"/>
            <a:gd name="T10" fmla="*/ 6807 w 16384"/>
            <a:gd name="T11" fmla="*/ 16310 h 16384"/>
            <a:gd name="T12" fmla="*/ 7730 w 16384"/>
            <a:gd name="T13" fmla="*/ 16235 h 16384"/>
            <a:gd name="T14" fmla="*/ 8769 w 16384"/>
            <a:gd name="T15" fmla="*/ 16086 h 16384"/>
            <a:gd name="T16" fmla="*/ 9577 w 16384"/>
            <a:gd name="T17" fmla="*/ 15863 h 16384"/>
            <a:gd name="T18" fmla="*/ 10961 w 16384"/>
            <a:gd name="T19" fmla="*/ 15267 h 16384"/>
            <a:gd name="T20" fmla="*/ 11884 w 16384"/>
            <a:gd name="T21" fmla="*/ 14820 h 16384"/>
            <a:gd name="T22" fmla="*/ 12923 w 16384"/>
            <a:gd name="T23" fmla="*/ 14150 h 16384"/>
            <a:gd name="T24" fmla="*/ 13846 w 16384"/>
            <a:gd name="T25" fmla="*/ 13703 h 16384"/>
            <a:gd name="T26" fmla="*/ 14307 w 16384"/>
            <a:gd name="T27" fmla="*/ 13256 h 16384"/>
            <a:gd name="T28" fmla="*/ 14884 w 16384"/>
            <a:gd name="T29" fmla="*/ 12735 h 16384"/>
            <a:gd name="T30" fmla="*/ 15461 w 16384"/>
            <a:gd name="T31" fmla="*/ 11990 h 16384"/>
            <a:gd name="T32" fmla="*/ 15807 w 16384"/>
            <a:gd name="T33" fmla="*/ 11171 h 16384"/>
            <a:gd name="T34" fmla="*/ 16153 w 16384"/>
            <a:gd name="T35" fmla="*/ 10426 h 16384"/>
            <a:gd name="T36" fmla="*/ 16269 w 16384"/>
            <a:gd name="T37" fmla="*/ 9756 h 16384"/>
            <a:gd name="T38" fmla="*/ 16384 w 16384"/>
            <a:gd name="T39" fmla="*/ 9160 h 16384"/>
            <a:gd name="T40" fmla="*/ 16269 w 16384"/>
            <a:gd name="T41" fmla="*/ 7447 h 16384"/>
            <a:gd name="T42" fmla="*/ 16153 w 16384"/>
            <a:gd name="T43" fmla="*/ 6479 h 16384"/>
            <a:gd name="T44" fmla="*/ 16038 w 16384"/>
            <a:gd name="T45" fmla="*/ 5958 h 16384"/>
            <a:gd name="T46" fmla="*/ 15922 w 16384"/>
            <a:gd name="T47" fmla="*/ 5362 h 16384"/>
            <a:gd name="T48" fmla="*/ 15576 w 16384"/>
            <a:gd name="T49" fmla="*/ 4692 h 16384"/>
            <a:gd name="T50" fmla="*/ 14769 w 16384"/>
            <a:gd name="T51" fmla="*/ 3947 h 16384"/>
            <a:gd name="T52" fmla="*/ 13961 w 16384"/>
            <a:gd name="T53" fmla="*/ 3426 h 16384"/>
            <a:gd name="T54" fmla="*/ 13384 w 16384"/>
            <a:gd name="T55" fmla="*/ 3128 h 16384"/>
            <a:gd name="T56" fmla="*/ 12923 w 16384"/>
            <a:gd name="T57" fmla="*/ 2607 h 16384"/>
            <a:gd name="T58" fmla="*/ 12230 w 16384"/>
            <a:gd name="T59" fmla="*/ 2085 h 16384"/>
            <a:gd name="T60" fmla="*/ 11192 w 16384"/>
            <a:gd name="T61" fmla="*/ 1341 h 16384"/>
            <a:gd name="T62" fmla="*/ 10384 w 16384"/>
            <a:gd name="T63" fmla="*/ 968 h 16384"/>
            <a:gd name="T64" fmla="*/ 9692 w 16384"/>
            <a:gd name="T65" fmla="*/ 819 h 16384"/>
            <a:gd name="T66" fmla="*/ 8654 w 16384"/>
            <a:gd name="T67" fmla="*/ 596 h 16384"/>
            <a:gd name="T68" fmla="*/ 6807 w 16384"/>
            <a:gd name="T69" fmla="*/ 149 h 16384"/>
            <a:gd name="T70" fmla="*/ 5654 w 16384"/>
            <a:gd name="T71" fmla="*/ 0 h 16384"/>
            <a:gd name="T72" fmla="*/ 2769 w 16384"/>
            <a:gd name="T73" fmla="*/ 74 h 16384"/>
            <a:gd name="T74" fmla="*/ 1385 w 16384"/>
            <a:gd name="T75" fmla="*/ 149 h 16384"/>
            <a:gd name="T76" fmla="*/ 0 w 16384"/>
            <a:gd name="T77" fmla="*/ 74 h 1638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</a:cxnLst>
          <a:rect l="0" t="0" r="r" b="b"/>
          <a:pathLst>
            <a:path w="16384" h="16384">
              <a:moveTo>
                <a:pt x="0" y="74"/>
              </a:moveTo>
              <a:lnTo>
                <a:pt x="0" y="16384"/>
              </a:lnTo>
              <a:lnTo>
                <a:pt x="692" y="16235"/>
              </a:lnTo>
              <a:lnTo>
                <a:pt x="1038" y="16235"/>
              </a:lnTo>
              <a:lnTo>
                <a:pt x="1500" y="16161"/>
              </a:lnTo>
              <a:lnTo>
                <a:pt x="2538" y="16161"/>
              </a:lnTo>
              <a:lnTo>
                <a:pt x="2885" y="16235"/>
              </a:lnTo>
              <a:lnTo>
                <a:pt x="3461" y="16310"/>
              </a:lnTo>
              <a:lnTo>
                <a:pt x="3808" y="16310"/>
              </a:lnTo>
              <a:lnTo>
                <a:pt x="4154" y="16384"/>
              </a:lnTo>
              <a:lnTo>
                <a:pt x="6461" y="16384"/>
              </a:lnTo>
              <a:lnTo>
                <a:pt x="6807" y="16310"/>
              </a:lnTo>
              <a:lnTo>
                <a:pt x="7384" y="16310"/>
              </a:lnTo>
              <a:lnTo>
                <a:pt x="7730" y="16235"/>
              </a:lnTo>
              <a:lnTo>
                <a:pt x="8192" y="16235"/>
              </a:lnTo>
              <a:lnTo>
                <a:pt x="8769" y="16086"/>
              </a:lnTo>
              <a:lnTo>
                <a:pt x="9115" y="15937"/>
              </a:lnTo>
              <a:lnTo>
                <a:pt x="9577" y="15863"/>
              </a:lnTo>
              <a:lnTo>
                <a:pt x="10038" y="15714"/>
              </a:lnTo>
              <a:lnTo>
                <a:pt x="10961" y="15267"/>
              </a:lnTo>
              <a:lnTo>
                <a:pt x="11423" y="15118"/>
              </a:lnTo>
              <a:lnTo>
                <a:pt x="11884" y="14820"/>
              </a:lnTo>
              <a:lnTo>
                <a:pt x="12576" y="14448"/>
              </a:lnTo>
              <a:lnTo>
                <a:pt x="12923" y="14150"/>
              </a:lnTo>
              <a:lnTo>
                <a:pt x="13499" y="13852"/>
              </a:lnTo>
              <a:lnTo>
                <a:pt x="13846" y="13703"/>
              </a:lnTo>
              <a:lnTo>
                <a:pt x="13961" y="13405"/>
              </a:lnTo>
              <a:lnTo>
                <a:pt x="14307" y="13256"/>
              </a:lnTo>
              <a:lnTo>
                <a:pt x="14653" y="12958"/>
              </a:lnTo>
              <a:lnTo>
                <a:pt x="14884" y="12735"/>
              </a:lnTo>
              <a:lnTo>
                <a:pt x="15115" y="12362"/>
              </a:lnTo>
              <a:lnTo>
                <a:pt x="15461" y="11990"/>
              </a:lnTo>
              <a:lnTo>
                <a:pt x="15692" y="11618"/>
              </a:lnTo>
              <a:lnTo>
                <a:pt x="15807" y="11171"/>
              </a:lnTo>
              <a:lnTo>
                <a:pt x="16038" y="10799"/>
              </a:lnTo>
              <a:lnTo>
                <a:pt x="16153" y="10426"/>
              </a:lnTo>
              <a:lnTo>
                <a:pt x="16153" y="10128"/>
              </a:lnTo>
              <a:lnTo>
                <a:pt x="16269" y="9756"/>
              </a:lnTo>
              <a:lnTo>
                <a:pt x="16269" y="9458"/>
              </a:lnTo>
              <a:lnTo>
                <a:pt x="16384" y="9160"/>
              </a:lnTo>
              <a:lnTo>
                <a:pt x="16384" y="7671"/>
              </a:lnTo>
              <a:lnTo>
                <a:pt x="16269" y="7447"/>
              </a:lnTo>
              <a:lnTo>
                <a:pt x="16269" y="6926"/>
              </a:lnTo>
              <a:lnTo>
                <a:pt x="16153" y="6479"/>
              </a:lnTo>
              <a:lnTo>
                <a:pt x="16038" y="6256"/>
              </a:lnTo>
              <a:lnTo>
                <a:pt x="16038" y="5958"/>
              </a:lnTo>
              <a:lnTo>
                <a:pt x="15922" y="5585"/>
              </a:lnTo>
              <a:lnTo>
                <a:pt x="15922" y="5362"/>
              </a:lnTo>
              <a:lnTo>
                <a:pt x="15807" y="4990"/>
              </a:lnTo>
              <a:lnTo>
                <a:pt x="15576" y="4692"/>
              </a:lnTo>
              <a:lnTo>
                <a:pt x="15115" y="4245"/>
              </a:lnTo>
              <a:lnTo>
                <a:pt x="14769" y="3947"/>
              </a:lnTo>
              <a:lnTo>
                <a:pt x="14307" y="3724"/>
              </a:lnTo>
              <a:lnTo>
                <a:pt x="13961" y="3426"/>
              </a:lnTo>
              <a:lnTo>
                <a:pt x="13730" y="3202"/>
              </a:lnTo>
              <a:lnTo>
                <a:pt x="13384" y="3128"/>
              </a:lnTo>
              <a:lnTo>
                <a:pt x="13269" y="2830"/>
              </a:lnTo>
              <a:lnTo>
                <a:pt x="12923" y="2607"/>
              </a:lnTo>
              <a:lnTo>
                <a:pt x="12692" y="2383"/>
              </a:lnTo>
              <a:lnTo>
                <a:pt x="12230" y="2085"/>
              </a:lnTo>
              <a:lnTo>
                <a:pt x="11884" y="1787"/>
              </a:lnTo>
              <a:lnTo>
                <a:pt x="11192" y="1341"/>
              </a:lnTo>
              <a:lnTo>
                <a:pt x="10730" y="1192"/>
              </a:lnTo>
              <a:lnTo>
                <a:pt x="10384" y="968"/>
              </a:lnTo>
              <a:lnTo>
                <a:pt x="10038" y="819"/>
              </a:lnTo>
              <a:lnTo>
                <a:pt x="9692" y="819"/>
              </a:lnTo>
              <a:lnTo>
                <a:pt x="9115" y="596"/>
              </a:lnTo>
              <a:lnTo>
                <a:pt x="8654" y="596"/>
              </a:lnTo>
              <a:lnTo>
                <a:pt x="8192" y="447"/>
              </a:lnTo>
              <a:lnTo>
                <a:pt x="6807" y="149"/>
              </a:lnTo>
              <a:lnTo>
                <a:pt x="6346" y="149"/>
              </a:lnTo>
              <a:lnTo>
                <a:pt x="5654" y="0"/>
              </a:lnTo>
              <a:lnTo>
                <a:pt x="3115" y="0"/>
              </a:lnTo>
              <a:lnTo>
                <a:pt x="2769" y="74"/>
              </a:lnTo>
              <a:lnTo>
                <a:pt x="1731" y="74"/>
              </a:lnTo>
              <a:lnTo>
                <a:pt x="1385" y="149"/>
              </a:lnTo>
              <a:lnTo>
                <a:pt x="692" y="149"/>
              </a:lnTo>
              <a:lnTo>
                <a:pt x="0" y="74"/>
              </a:lnTo>
              <a:close/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4</xdr:col>
      <xdr:colOff>85725</xdr:colOff>
      <xdr:row>0</xdr:row>
      <xdr:rowOff>0</xdr:rowOff>
    </xdr:from>
    <xdr:to>
      <xdr:col>4</xdr:col>
      <xdr:colOff>247650</xdr:colOff>
      <xdr:row>0</xdr:row>
      <xdr:rowOff>0</xdr:rowOff>
    </xdr:to>
    <xdr:sp macro="" textlink="">
      <xdr:nvSpPr>
        <xdr:cNvPr id="43020" name="Drawing 10">
          <a:extLst>
            <a:ext uri="{FF2B5EF4-FFF2-40B4-BE49-F238E27FC236}">
              <a16:creationId xmlns:a16="http://schemas.microsoft.com/office/drawing/2014/main" id="{823C9590-EC4C-3E8A-5F58-849EAEC29399}"/>
            </a:ext>
          </a:extLst>
        </xdr:cNvPr>
        <xdr:cNvSpPr>
          <a:spLocks/>
        </xdr:cNvSpPr>
      </xdr:nvSpPr>
      <xdr:spPr bwMode="auto">
        <a:xfrm>
          <a:off x="3200400" y="0"/>
          <a:ext cx="161925" cy="0"/>
        </a:xfrm>
        <a:custGeom>
          <a:avLst/>
          <a:gdLst>
            <a:gd name="T0" fmla="*/ 8192 w 16384"/>
            <a:gd name="T1" fmla="*/ 16384 h 16384"/>
            <a:gd name="T2" fmla="*/ 16384 w 16384"/>
            <a:gd name="T3" fmla="*/ 0 h 16384"/>
            <a:gd name="T4" fmla="*/ 0 w 16384"/>
            <a:gd name="T5" fmla="*/ 0 h 16384"/>
            <a:gd name="T6" fmla="*/ 8192 w 16384"/>
            <a:gd name="T7" fmla="*/ 16384 h 1638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0" t="0" r="r" b="b"/>
          <a:pathLst>
            <a:path w="16384" h="16384">
              <a:moveTo>
                <a:pt x="8192" y="16384"/>
              </a:moveTo>
              <a:lnTo>
                <a:pt x="16384" y="0"/>
              </a:lnTo>
              <a:lnTo>
                <a:pt x="0" y="0"/>
              </a:lnTo>
              <a:lnTo>
                <a:pt x="8192" y="16384"/>
              </a:lnTo>
              <a:close/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0</xdr:col>
      <xdr:colOff>104775</xdr:colOff>
      <xdr:row>0</xdr:row>
      <xdr:rowOff>0</xdr:rowOff>
    </xdr:from>
    <xdr:to>
      <xdr:col>0</xdr:col>
      <xdr:colOff>219075</xdr:colOff>
      <xdr:row>0</xdr:row>
      <xdr:rowOff>0</xdr:rowOff>
    </xdr:to>
    <xdr:sp macro="" textlink="">
      <xdr:nvSpPr>
        <xdr:cNvPr id="43023" name="Oval 15">
          <a:extLst>
            <a:ext uri="{FF2B5EF4-FFF2-40B4-BE49-F238E27FC236}">
              <a16:creationId xmlns:a16="http://schemas.microsoft.com/office/drawing/2014/main" id="{8372A738-C248-633F-0EA4-9E0C538194B0}"/>
            </a:ext>
          </a:extLst>
        </xdr:cNvPr>
        <xdr:cNvSpPr>
          <a:spLocks noChangeArrowheads="1"/>
        </xdr:cNvSpPr>
      </xdr:nvSpPr>
      <xdr:spPr bwMode="auto">
        <a:xfrm>
          <a:off x="104775" y="0"/>
          <a:ext cx="114300" cy="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9</xdr:col>
      <xdr:colOff>123825</xdr:colOff>
      <xdr:row>0</xdr:row>
      <xdr:rowOff>0</xdr:rowOff>
    </xdr:from>
    <xdr:to>
      <xdr:col>9</xdr:col>
      <xdr:colOff>247650</xdr:colOff>
      <xdr:row>0</xdr:row>
      <xdr:rowOff>0</xdr:rowOff>
    </xdr:to>
    <xdr:sp macro="" textlink="">
      <xdr:nvSpPr>
        <xdr:cNvPr id="43024" name="Rectangle 16">
          <a:extLst>
            <a:ext uri="{FF2B5EF4-FFF2-40B4-BE49-F238E27FC236}">
              <a16:creationId xmlns:a16="http://schemas.microsoft.com/office/drawing/2014/main" id="{FC484F06-D384-84B1-1EA3-E6ADBD00E3B9}"/>
            </a:ext>
          </a:extLst>
        </xdr:cNvPr>
        <xdr:cNvSpPr>
          <a:spLocks noChangeArrowheads="1"/>
        </xdr:cNvSpPr>
      </xdr:nvSpPr>
      <xdr:spPr bwMode="auto">
        <a:xfrm>
          <a:off x="4857750" y="0"/>
          <a:ext cx="123825" cy="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13</xdr:col>
      <xdr:colOff>66675</xdr:colOff>
      <xdr:row>0</xdr:row>
      <xdr:rowOff>0</xdr:rowOff>
    </xdr:from>
    <xdr:to>
      <xdr:col>13</xdr:col>
      <xdr:colOff>200025</xdr:colOff>
      <xdr:row>0</xdr:row>
      <xdr:rowOff>0</xdr:rowOff>
    </xdr:to>
    <xdr:sp macro="" textlink="">
      <xdr:nvSpPr>
        <xdr:cNvPr id="43025" name="Drawing 13">
          <a:extLst>
            <a:ext uri="{FF2B5EF4-FFF2-40B4-BE49-F238E27FC236}">
              <a16:creationId xmlns:a16="http://schemas.microsoft.com/office/drawing/2014/main" id="{884813DE-E064-12A9-868E-E97673AC06B7}"/>
            </a:ext>
          </a:extLst>
        </xdr:cNvPr>
        <xdr:cNvSpPr>
          <a:spLocks/>
        </xdr:cNvSpPr>
      </xdr:nvSpPr>
      <xdr:spPr bwMode="auto">
        <a:xfrm>
          <a:off x="8686800" y="0"/>
          <a:ext cx="133350" cy="0"/>
        </a:xfrm>
        <a:custGeom>
          <a:avLst/>
          <a:gdLst>
            <a:gd name="T0" fmla="*/ 0 w 16384"/>
            <a:gd name="T1" fmla="*/ 16384 h 16384"/>
            <a:gd name="T2" fmla="*/ 1038 w 16384"/>
            <a:gd name="T3" fmla="*/ 16235 h 16384"/>
            <a:gd name="T4" fmla="*/ 2538 w 16384"/>
            <a:gd name="T5" fmla="*/ 16161 h 16384"/>
            <a:gd name="T6" fmla="*/ 3461 w 16384"/>
            <a:gd name="T7" fmla="*/ 16310 h 16384"/>
            <a:gd name="T8" fmla="*/ 4154 w 16384"/>
            <a:gd name="T9" fmla="*/ 16384 h 16384"/>
            <a:gd name="T10" fmla="*/ 6807 w 16384"/>
            <a:gd name="T11" fmla="*/ 16310 h 16384"/>
            <a:gd name="T12" fmla="*/ 7730 w 16384"/>
            <a:gd name="T13" fmla="*/ 16235 h 16384"/>
            <a:gd name="T14" fmla="*/ 8769 w 16384"/>
            <a:gd name="T15" fmla="*/ 16086 h 16384"/>
            <a:gd name="T16" fmla="*/ 9577 w 16384"/>
            <a:gd name="T17" fmla="*/ 15863 h 16384"/>
            <a:gd name="T18" fmla="*/ 10961 w 16384"/>
            <a:gd name="T19" fmla="*/ 15267 h 16384"/>
            <a:gd name="T20" fmla="*/ 11884 w 16384"/>
            <a:gd name="T21" fmla="*/ 14820 h 16384"/>
            <a:gd name="T22" fmla="*/ 12923 w 16384"/>
            <a:gd name="T23" fmla="*/ 14150 h 16384"/>
            <a:gd name="T24" fmla="*/ 13846 w 16384"/>
            <a:gd name="T25" fmla="*/ 13703 h 16384"/>
            <a:gd name="T26" fmla="*/ 14307 w 16384"/>
            <a:gd name="T27" fmla="*/ 13256 h 16384"/>
            <a:gd name="T28" fmla="*/ 14884 w 16384"/>
            <a:gd name="T29" fmla="*/ 12735 h 16384"/>
            <a:gd name="T30" fmla="*/ 15461 w 16384"/>
            <a:gd name="T31" fmla="*/ 11990 h 16384"/>
            <a:gd name="T32" fmla="*/ 15807 w 16384"/>
            <a:gd name="T33" fmla="*/ 11171 h 16384"/>
            <a:gd name="T34" fmla="*/ 16153 w 16384"/>
            <a:gd name="T35" fmla="*/ 10426 h 16384"/>
            <a:gd name="T36" fmla="*/ 16269 w 16384"/>
            <a:gd name="T37" fmla="*/ 9756 h 16384"/>
            <a:gd name="T38" fmla="*/ 16384 w 16384"/>
            <a:gd name="T39" fmla="*/ 9160 h 16384"/>
            <a:gd name="T40" fmla="*/ 16269 w 16384"/>
            <a:gd name="T41" fmla="*/ 7447 h 16384"/>
            <a:gd name="T42" fmla="*/ 16153 w 16384"/>
            <a:gd name="T43" fmla="*/ 6479 h 16384"/>
            <a:gd name="T44" fmla="*/ 16038 w 16384"/>
            <a:gd name="T45" fmla="*/ 5958 h 16384"/>
            <a:gd name="T46" fmla="*/ 15922 w 16384"/>
            <a:gd name="T47" fmla="*/ 5362 h 16384"/>
            <a:gd name="T48" fmla="*/ 15576 w 16384"/>
            <a:gd name="T49" fmla="*/ 4692 h 16384"/>
            <a:gd name="T50" fmla="*/ 14769 w 16384"/>
            <a:gd name="T51" fmla="*/ 3947 h 16384"/>
            <a:gd name="T52" fmla="*/ 13961 w 16384"/>
            <a:gd name="T53" fmla="*/ 3426 h 16384"/>
            <a:gd name="T54" fmla="*/ 13384 w 16384"/>
            <a:gd name="T55" fmla="*/ 3128 h 16384"/>
            <a:gd name="T56" fmla="*/ 12923 w 16384"/>
            <a:gd name="T57" fmla="*/ 2607 h 16384"/>
            <a:gd name="T58" fmla="*/ 12230 w 16384"/>
            <a:gd name="T59" fmla="*/ 2085 h 16384"/>
            <a:gd name="T60" fmla="*/ 11192 w 16384"/>
            <a:gd name="T61" fmla="*/ 1341 h 16384"/>
            <a:gd name="T62" fmla="*/ 10384 w 16384"/>
            <a:gd name="T63" fmla="*/ 968 h 16384"/>
            <a:gd name="T64" fmla="*/ 9692 w 16384"/>
            <a:gd name="T65" fmla="*/ 819 h 16384"/>
            <a:gd name="T66" fmla="*/ 8654 w 16384"/>
            <a:gd name="T67" fmla="*/ 596 h 16384"/>
            <a:gd name="T68" fmla="*/ 6807 w 16384"/>
            <a:gd name="T69" fmla="*/ 149 h 16384"/>
            <a:gd name="T70" fmla="*/ 5654 w 16384"/>
            <a:gd name="T71" fmla="*/ 0 h 16384"/>
            <a:gd name="T72" fmla="*/ 2769 w 16384"/>
            <a:gd name="T73" fmla="*/ 74 h 16384"/>
            <a:gd name="T74" fmla="*/ 1385 w 16384"/>
            <a:gd name="T75" fmla="*/ 149 h 16384"/>
            <a:gd name="T76" fmla="*/ 0 w 16384"/>
            <a:gd name="T77" fmla="*/ 74 h 1638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</a:cxnLst>
          <a:rect l="0" t="0" r="r" b="b"/>
          <a:pathLst>
            <a:path w="16384" h="16384">
              <a:moveTo>
                <a:pt x="0" y="74"/>
              </a:moveTo>
              <a:lnTo>
                <a:pt x="0" y="16384"/>
              </a:lnTo>
              <a:lnTo>
                <a:pt x="692" y="16235"/>
              </a:lnTo>
              <a:lnTo>
                <a:pt x="1038" y="16235"/>
              </a:lnTo>
              <a:lnTo>
                <a:pt x="1500" y="16161"/>
              </a:lnTo>
              <a:lnTo>
                <a:pt x="2538" y="16161"/>
              </a:lnTo>
              <a:lnTo>
                <a:pt x="2885" y="16235"/>
              </a:lnTo>
              <a:lnTo>
                <a:pt x="3461" y="16310"/>
              </a:lnTo>
              <a:lnTo>
                <a:pt x="3808" y="16310"/>
              </a:lnTo>
              <a:lnTo>
                <a:pt x="4154" y="16384"/>
              </a:lnTo>
              <a:lnTo>
                <a:pt x="6461" y="16384"/>
              </a:lnTo>
              <a:lnTo>
                <a:pt x="6807" y="16310"/>
              </a:lnTo>
              <a:lnTo>
                <a:pt x="7384" y="16310"/>
              </a:lnTo>
              <a:lnTo>
                <a:pt x="7730" y="16235"/>
              </a:lnTo>
              <a:lnTo>
                <a:pt x="8192" y="16235"/>
              </a:lnTo>
              <a:lnTo>
                <a:pt x="8769" y="16086"/>
              </a:lnTo>
              <a:lnTo>
                <a:pt x="9115" y="15937"/>
              </a:lnTo>
              <a:lnTo>
                <a:pt x="9577" y="15863"/>
              </a:lnTo>
              <a:lnTo>
                <a:pt x="10038" y="15714"/>
              </a:lnTo>
              <a:lnTo>
                <a:pt x="10961" y="15267"/>
              </a:lnTo>
              <a:lnTo>
                <a:pt x="11423" y="15118"/>
              </a:lnTo>
              <a:lnTo>
                <a:pt x="11884" y="14820"/>
              </a:lnTo>
              <a:lnTo>
                <a:pt x="12576" y="14448"/>
              </a:lnTo>
              <a:lnTo>
                <a:pt x="12923" y="14150"/>
              </a:lnTo>
              <a:lnTo>
                <a:pt x="13499" y="13852"/>
              </a:lnTo>
              <a:lnTo>
                <a:pt x="13846" y="13703"/>
              </a:lnTo>
              <a:lnTo>
                <a:pt x="13961" y="13405"/>
              </a:lnTo>
              <a:lnTo>
                <a:pt x="14307" y="13256"/>
              </a:lnTo>
              <a:lnTo>
                <a:pt x="14653" y="12958"/>
              </a:lnTo>
              <a:lnTo>
                <a:pt x="14884" y="12735"/>
              </a:lnTo>
              <a:lnTo>
                <a:pt x="15115" y="12362"/>
              </a:lnTo>
              <a:lnTo>
                <a:pt x="15461" y="11990"/>
              </a:lnTo>
              <a:lnTo>
                <a:pt x="15692" y="11618"/>
              </a:lnTo>
              <a:lnTo>
                <a:pt x="15807" y="11171"/>
              </a:lnTo>
              <a:lnTo>
                <a:pt x="16038" y="10799"/>
              </a:lnTo>
              <a:lnTo>
                <a:pt x="16153" y="10426"/>
              </a:lnTo>
              <a:lnTo>
                <a:pt x="16153" y="10128"/>
              </a:lnTo>
              <a:lnTo>
                <a:pt x="16269" y="9756"/>
              </a:lnTo>
              <a:lnTo>
                <a:pt x="16269" y="9458"/>
              </a:lnTo>
              <a:lnTo>
                <a:pt x="16384" y="9160"/>
              </a:lnTo>
              <a:lnTo>
                <a:pt x="16384" y="7671"/>
              </a:lnTo>
              <a:lnTo>
                <a:pt x="16269" y="7447"/>
              </a:lnTo>
              <a:lnTo>
                <a:pt x="16269" y="6926"/>
              </a:lnTo>
              <a:lnTo>
                <a:pt x="16153" y="6479"/>
              </a:lnTo>
              <a:lnTo>
                <a:pt x="16038" y="6256"/>
              </a:lnTo>
              <a:lnTo>
                <a:pt x="16038" y="5958"/>
              </a:lnTo>
              <a:lnTo>
                <a:pt x="15922" y="5585"/>
              </a:lnTo>
              <a:lnTo>
                <a:pt x="15922" y="5362"/>
              </a:lnTo>
              <a:lnTo>
                <a:pt x="15807" y="4990"/>
              </a:lnTo>
              <a:lnTo>
                <a:pt x="15576" y="4692"/>
              </a:lnTo>
              <a:lnTo>
                <a:pt x="15115" y="4245"/>
              </a:lnTo>
              <a:lnTo>
                <a:pt x="14769" y="3947"/>
              </a:lnTo>
              <a:lnTo>
                <a:pt x="14307" y="3724"/>
              </a:lnTo>
              <a:lnTo>
                <a:pt x="13961" y="3426"/>
              </a:lnTo>
              <a:lnTo>
                <a:pt x="13730" y="3202"/>
              </a:lnTo>
              <a:lnTo>
                <a:pt x="13384" y="3128"/>
              </a:lnTo>
              <a:lnTo>
                <a:pt x="13269" y="2830"/>
              </a:lnTo>
              <a:lnTo>
                <a:pt x="12923" y="2607"/>
              </a:lnTo>
              <a:lnTo>
                <a:pt x="12692" y="2383"/>
              </a:lnTo>
              <a:lnTo>
                <a:pt x="12230" y="2085"/>
              </a:lnTo>
              <a:lnTo>
                <a:pt x="11884" y="1787"/>
              </a:lnTo>
              <a:lnTo>
                <a:pt x="11192" y="1341"/>
              </a:lnTo>
              <a:lnTo>
                <a:pt x="10730" y="1192"/>
              </a:lnTo>
              <a:lnTo>
                <a:pt x="10384" y="968"/>
              </a:lnTo>
              <a:lnTo>
                <a:pt x="10038" y="819"/>
              </a:lnTo>
              <a:lnTo>
                <a:pt x="9692" y="819"/>
              </a:lnTo>
              <a:lnTo>
                <a:pt x="9115" y="596"/>
              </a:lnTo>
              <a:lnTo>
                <a:pt x="8654" y="596"/>
              </a:lnTo>
              <a:lnTo>
                <a:pt x="8192" y="447"/>
              </a:lnTo>
              <a:lnTo>
                <a:pt x="6807" y="149"/>
              </a:lnTo>
              <a:lnTo>
                <a:pt x="6346" y="149"/>
              </a:lnTo>
              <a:lnTo>
                <a:pt x="5654" y="0"/>
              </a:lnTo>
              <a:lnTo>
                <a:pt x="3115" y="0"/>
              </a:lnTo>
              <a:lnTo>
                <a:pt x="2769" y="74"/>
              </a:lnTo>
              <a:lnTo>
                <a:pt x="1731" y="74"/>
              </a:lnTo>
              <a:lnTo>
                <a:pt x="1385" y="149"/>
              </a:lnTo>
              <a:lnTo>
                <a:pt x="692" y="149"/>
              </a:lnTo>
              <a:lnTo>
                <a:pt x="0" y="74"/>
              </a:lnTo>
              <a:close/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17</xdr:col>
      <xdr:colOff>95250</xdr:colOff>
      <xdr:row>0</xdr:row>
      <xdr:rowOff>0</xdr:rowOff>
    </xdr:from>
    <xdr:to>
      <xdr:col>17</xdr:col>
      <xdr:colOff>257175</xdr:colOff>
      <xdr:row>0</xdr:row>
      <xdr:rowOff>0</xdr:rowOff>
    </xdr:to>
    <xdr:sp macro="" textlink="">
      <xdr:nvSpPr>
        <xdr:cNvPr id="43026" name="Drawing 10">
          <a:extLst>
            <a:ext uri="{FF2B5EF4-FFF2-40B4-BE49-F238E27FC236}">
              <a16:creationId xmlns:a16="http://schemas.microsoft.com/office/drawing/2014/main" id="{585C2271-9910-3989-0C5C-88F49749B485}"/>
            </a:ext>
          </a:extLst>
        </xdr:cNvPr>
        <xdr:cNvSpPr>
          <a:spLocks/>
        </xdr:cNvSpPr>
      </xdr:nvSpPr>
      <xdr:spPr bwMode="auto">
        <a:xfrm>
          <a:off x="11153775" y="0"/>
          <a:ext cx="161925" cy="0"/>
        </a:xfrm>
        <a:custGeom>
          <a:avLst/>
          <a:gdLst>
            <a:gd name="T0" fmla="*/ 8192 w 16384"/>
            <a:gd name="T1" fmla="*/ 16384 h 16384"/>
            <a:gd name="T2" fmla="*/ 16384 w 16384"/>
            <a:gd name="T3" fmla="*/ 0 h 16384"/>
            <a:gd name="T4" fmla="*/ 0 w 16384"/>
            <a:gd name="T5" fmla="*/ 0 h 16384"/>
            <a:gd name="T6" fmla="*/ 8192 w 16384"/>
            <a:gd name="T7" fmla="*/ 16384 h 1638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0" t="0" r="r" b="b"/>
          <a:pathLst>
            <a:path w="16384" h="16384">
              <a:moveTo>
                <a:pt x="8192" y="16384"/>
              </a:moveTo>
              <a:lnTo>
                <a:pt x="16384" y="0"/>
              </a:lnTo>
              <a:lnTo>
                <a:pt x="0" y="0"/>
              </a:lnTo>
              <a:lnTo>
                <a:pt x="8192" y="16384"/>
              </a:lnTo>
              <a:close/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4</xdr:col>
      <xdr:colOff>66675</xdr:colOff>
      <xdr:row>0</xdr:row>
      <xdr:rowOff>0</xdr:rowOff>
    </xdr:from>
    <xdr:to>
      <xdr:col>4</xdr:col>
      <xdr:colOff>200025</xdr:colOff>
      <xdr:row>0</xdr:row>
      <xdr:rowOff>0</xdr:rowOff>
    </xdr:to>
    <xdr:sp macro="" textlink="">
      <xdr:nvSpPr>
        <xdr:cNvPr id="43028" name="Drawing 8">
          <a:extLst>
            <a:ext uri="{FF2B5EF4-FFF2-40B4-BE49-F238E27FC236}">
              <a16:creationId xmlns:a16="http://schemas.microsoft.com/office/drawing/2014/main" id="{12436403-219B-4263-7F0E-C96EA0920A5F}"/>
            </a:ext>
          </a:extLst>
        </xdr:cNvPr>
        <xdr:cNvSpPr>
          <a:spLocks/>
        </xdr:cNvSpPr>
      </xdr:nvSpPr>
      <xdr:spPr bwMode="auto">
        <a:xfrm>
          <a:off x="3181350" y="0"/>
          <a:ext cx="133350" cy="0"/>
        </a:xfrm>
        <a:custGeom>
          <a:avLst/>
          <a:gdLst>
            <a:gd name="T0" fmla="*/ 0 w 16384"/>
            <a:gd name="T1" fmla="*/ 3511 h 16384"/>
            <a:gd name="T2" fmla="*/ 0 w 16384"/>
            <a:gd name="T3" fmla="*/ 12873 h 16384"/>
            <a:gd name="T4" fmla="*/ 10034 w 16384"/>
            <a:gd name="T5" fmla="*/ 12873 h 16384"/>
            <a:gd name="T6" fmla="*/ 10034 w 16384"/>
            <a:gd name="T7" fmla="*/ 16384 h 16384"/>
            <a:gd name="T8" fmla="*/ 16384 w 16384"/>
            <a:gd name="T9" fmla="*/ 8192 h 16384"/>
            <a:gd name="T10" fmla="*/ 10034 w 16384"/>
            <a:gd name="T11" fmla="*/ 0 h 16384"/>
            <a:gd name="T12" fmla="*/ 10034 w 16384"/>
            <a:gd name="T13" fmla="*/ 3511 h 16384"/>
            <a:gd name="T14" fmla="*/ 0 w 16384"/>
            <a:gd name="T15" fmla="*/ 3511 h 1638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0" t="0" r="r" b="b"/>
          <a:pathLst>
            <a:path w="16384" h="16384">
              <a:moveTo>
                <a:pt x="0" y="3511"/>
              </a:moveTo>
              <a:lnTo>
                <a:pt x="0" y="12873"/>
              </a:lnTo>
              <a:lnTo>
                <a:pt x="10034" y="12873"/>
              </a:lnTo>
              <a:lnTo>
                <a:pt x="10034" y="16384"/>
              </a:lnTo>
              <a:lnTo>
                <a:pt x="16384" y="8192"/>
              </a:lnTo>
              <a:lnTo>
                <a:pt x="10034" y="0"/>
              </a:lnTo>
              <a:lnTo>
                <a:pt x="10034" y="3511"/>
              </a:lnTo>
              <a:lnTo>
                <a:pt x="0" y="3511"/>
              </a:lnTo>
              <a:close/>
            </a:path>
          </a:pathLst>
        </a:custGeom>
        <a:noFill/>
        <a:ln w="9525" cap="flat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xdr:twoCellAnchor>
    <xdr:from>
      <xdr:col>0</xdr:col>
      <xdr:colOff>28575</xdr:colOff>
      <xdr:row>22</xdr:row>
      <xdr:rowOff>19050</xdr:rowOff>
    </xdr:from>
    <xdr:to>
      <xdr:col>0</xdr:col>
      <xdr:colOff>161925</xdr:colOff>
      <xdr:row>22</xdr:row>
      <xdr:rowOff>142875</xdr:rowOff>
    </xdr:to>
    <xdr:sp macro="" textlink="">
      <xdr:nvSpPr>
        <xdr:cNvPr id="43045" name="Rectangle 37">
          <a:extLst>
            <a:ext uri="{FF2B5EF4-FFF2-40B4-BE49-F238E27FC236}">
              <a16:creationId xmlns:a16="http://schemas.microsoft.com/office/drawing/2014/main" id="{91C04CBE-6349-FECF-03C7-A5461C42C33C}"/>
            </a:ext>
          </a:extLst>
        </xdr:cNvPr>
        <xdr:cNvSpPr>
          <a:spLocks noChangeArrowheads="1"/>
        </xdr:cNvSpPr>
      </xdr:nvSpPr>
      <xdr:spPr bwMode="auto">
        <a:xfrm>
          <a:off x="28575" y="6124575"/>
          <a:ext cx="133350" cy="123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8000" mc:Ignorable="a14" a14:legacySpreadsheetColorIndex="1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180975</xdr:colOff>
      <xdr:row>22</xdr:row>
      <xdr:rowOff>9525</xdr:rowOff>
    </xdr:from>
    <xdr:to>
      <xdr:col>2</xdr:col>
      <xdr:colOff>333375</xdr:colOff>
      <xdr:row>23</xdr:row>
      <xdr:rowOff>0</xdr:rowOff>
    </xdr:to>
    <xdr:sp macro="" textlink="">
      <xdr:nvSpPr>
        <xdr:cNvPr id="43046" name="AutoShape 38">
          <a:extLst>
            <a:ext uri="{FF2B5EF4-FFF2-40B4-BE49-F238E27FC236}">
              <a16:creationId xmlns:a16="http://schemas.microsoft.com/office/drawing/2014/main" id="{AE37BB67-3DFB-64E6-A9BD-AD1591BADE25}"/>
            </a:ext>
          </a:extLst>
        </xdr:cNvPr>
        <xdr:cNvSpPr>
          <a:spLocks noChangeArrowheads="1"/>
        </xdr:cNvSpPr>
      </xdr:nvSpPr>
      <xdr:spPr bwMode="auto">
        <a:xfrm>
          <a:off x="2362200" y="6115050"/>
          <a:ext cx="152400" cy="152400"/>
        </a:xfrm>
        <a:prstGeom prst="flowChartDecision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142875</xdr:colOff>
      <xdr:row>22</xdr:row>
      <xdr:rowOff>9525</xdr:rowOff>
    </xdr:from>
    <xdr:to>
      <xdr:col>6</xdr:col>
      <xdr:colOff>304800</xdr:colOff>
      <xdr:row>22</xdr:row>
      <xdr:rowOff>152400</xdr:rowOff>
    </xdr:to>
    <xdr:sp macro="" textlink="">
      <xdr:nvSpPr>
        <xdr:cNvPr id="43047" name="Oval 39">
          <a:extLst>
            <a:ext uri="{FF2B5EF4-FFF2-40B4-BE49-F238E27FC236}">
              <a16:creationId xmlns:a16="http://schemas.microsoft.com/office/drawing/2014/main" id="{B3E16B98-8199-F2A2-8720-48BE39C8B04E}"/>
            </a:ext>
          </a:extLst>
        </xdr:cNvPr>
        <xdr:cNvSpPr>
          <a:spLocks noChangeArrowheads="1"/>
        </xdr:cNvSpPr>
      </xdr:nvSpPr>
      <xdr:spPr bwMode="auto">
        <a:xfrm>
          <a:off x="3905250" y="6115050"/>
          <a:ext cx="161925" cy="1428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99933" mc:Ignorable="a14" a14:legacySpreadsheetColorIndex="5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10</xdr:col>
      <xdr:colOff>104775</xdr:colOff>
      <xdr:row>22</xdr:row>
      <xdr:rowOff>85725</xdr:rowOff>
    </xdr:from>
    <xdr:to>
      <xdr:col>11</xdr:col>
      <xdr:colOff>333375</xdr:colOff>
      <xdr:row>22</xdr:row>
      <xdr:rowOff>85725</xdr:rowOff>
    </xdr:to>
    <xdr:sp macro="" textlink="">
      <xdr:nvSpPr>
        <xdr:cNvPr id="43048" name="Line 40">
          <a:extLst>
            <a:ext uri="{FF2B5EF4-FFF2-40B4-BE49-F238E27FC236}">
              <a16:creationId xmlns:a16="http://schemas.microsoft.com/office/drawing/2014/main" id="{A5445EFF-38D3-FE57-FED0-2CE29485A8C9}"/>
            </a:ext>
          </a:extLst>
        </xdr:cNvPr>
        <xdr:cNvSpPr>
          <a:spLocks noChangeShapeType="1"/>
        </xdr:cNvSpPr>
      </xdr:nvSpPr>
      <xdr:spPr bwMode="auto">
        <a:xfrm>
          <a:off x="5162550" y="6191250"/>
          <a:ext cx="8001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200025</xdr:colOff>
      <xdr:row>23</xdr:row>
      <xdr:rowOff>28575</xdr:rowOff>
    </xdr:from>
    <xdr:to>
      <xdr:col>2</xdr:col>
      <xdr:colOff>323850</xdr:colOff>
      <xdr:row>23</xdr:row>
      <xdr:rowOff>142875</xdr:rowOff>
    </xdr:to>
    <xdr:sp macro="" textlink="">
      <xdr:nvSpPr>
        <xdr:cNvPr id="43049" name="AutoShape 41">
          <a:extLst>
            <a:ext uri="{FF2B5EF4-FFF2-40B4-BE49-F238E27FC236}">
              <a16:creationId xmlns:a16="http://schemas.microsoft.com/office/drawing/2014/main" id="{BF5610E3-5B89-2A2A-81A2-6C5ECF80FC17}"/>
            </a:ext>
          </a:extLst>
        </xdr:cNvPr>
        <xdr:cNvSpPr>
          <a:spLocks noChangeArrowheads="1"/>
        </xdr:cNvSpPr>
      </xdr:nvSpPr>
      <xdr:spPr bwMode="auto">
        <a:xfrm>
          <a:off x="2381250" y="6296025"/>
          <a:ext cx="123825" cy="114300"/>
        </a:xfrm>
        <a:prstGeom prst="octagon">
          <a:avLst>
            <a:gd name="adj" fmla="val 29287"/>
          </a:avLst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171450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5843" name="Drop Dow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2F2C7D05-40FF-9A51-38AF-C807DD9B20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7</xdr:row>
          <xdr:rowOff>171450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35844" name="Drop Dow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4FC615D7-3A0D-01CC-5A58-6848E29976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</xdr:row>
          <xdr:rowOff>161925</xdr:rowOff>
        </xdr:from>
        <xdr:to>
          <xdr:col>28</xdr:col>
          <xdr:colOff>9525</xdr:colOff>
          <xdr:row>7</xdr:row>
          <xdr:rowOff>361950</xdr:rowOff>
        </xdr:to>
        <xdr:sp macro="" textlink="">
          <xdr:nvSpPr>
            <xdr:cNvPr id="35845" name="Drop Dow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C4E3F47F-CE02-0400-CED7-C81F737204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95250</xdr:colOff>
      <xdr:row>0</xdr:row>
      <xdr:rowOff>0</xdr:rowOff>
    </xdr:from>
    <xdr:to>
      <xdr:col>18</xdr:col>
      <xdr:colOff>190500</xdr:colOff>
      <xdr:row>0</xdr:row>
      <xdr:rowOff>0</xdr:rowOff>
    </xdr:to>
    <xdr:sp macro="" textlink="">
      <xdr:nvSpPr>
        <xdr:cNvPr id="51201" name="Line 1">
          <a:extLst>
            <a:ext uri="{FF2B5EF4-FFF2-40B4-BE49-F238E27FC236}">
              <a16:creationId xmlns:a16="http://schemas.microsoft.com/office/drawing/2014/main" id="{2AFF5B7F-0EDD-79AC-7882-DE354F6CE002}"/>
            </a:ext>
          </a:extLst>
        </xdr:cNvPr>
        <xdr:cNvSpPr>
          <a:spLocks noChangeShapeType="1"/>
        </xdr:cNvSpPr>
      </xdr:nvSpPr>
      <xdr:spPr bwMode="auto">
        <a:xfrm>
          <a:off x="8524875" y="0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561975</xdr:colOff>
      <xdr:row>0</xdr:row>
      <xdr:rowOff>0</xdr:rowOff>
    </xdr:from>
    <xdr:to>
      <xdr:col>6</xdr:col>
      <xdr:colOff>419100</xdr:colOff>
      <xdr:row>0</xdr:row>
      <xdr:rowOff>0</xdr:rowOff>
    </xdr:to>
    <xdr:sp macro="" textlink="">
      <xdr:nvSpPr>
        <xdr:cNvPr id="51202" name="Line 2">
          <a:extLst>
            <a:ext uri="{FF2B5EF4-FFF2-40B4-BE49-F238E27FC236}">
              <a16:creationId xmlns:a16="http://schemas.microsoft.com/office/drawing/2014/main" id="{9B82627D-0616-8C81-DCCC-174AEE535D55}"/>
            </a:ext>
          </a:extLst>
        </xdr:cNvPr>
        <xdr:cNvSpPr>
          <a:spLocks noChangeShapeType="1"/>
        </xdr:cNvSpPr>
      </xdr:nvSpPr>
      <xdr:spPr bwMode="auto">
        <a:xfrm>
          <a:off x="2971800" y="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561975</xdr:colOff>
      <xdr:row>0</xdr:row>
      <xdr:rowOff>0</xdr:rowOff>
    </xdr:from>
    <xdr:to>
      <xdr:col>6</xdr:col>
      <xdr:colOff>419100</xdr:colOff>
      <xdr:row>0</xdr:row>
      <xdr:rowOff>0</xdr:rowOff>
    </xdr:to>
    <xdr:sp macro="" textlink="">
      <xdr:nvSpPr>
        <xdr:cNvPr id="51203" name="Line 3">
          <a:extLst>
            <a:ext uri="{FF2B5EF4-FFF2-40B4-BE49-F238E27FC236}">
              <a16:creationId xmlns:a16="http://schemas.microsoft.com/office/drawing/2014/main" id="{7ED9D512-7E0D-EC96-BF0B-B2C123323D91}"/>
            </a:ext>
          </a:extLst>
        </xdr:cNvPr>
        <xdr:cNvSpPr>
          <a:spLocks noChangeShapeType="1"/>
        </xdr:cNvSpPr>
      </xdr:nvSpPr>
      <xdr:spPr bwMode="auto">
        <a:xfrm>
          <a:off x="2971800" y="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114300</xdr:colOff>
      <xdr:row>0</xdr:row>
      <xdr:rowOff>0</xdr:rowOff>
    </xdr:from>
    <xdr:to>
      <xdr:col>20</xdr:col>
      <xdr:colOff>209550</xdr:colOff>
      <xdr:row>0</xdr:row>
      <xdr:rowOff>0</xdr:rowOff>
    </xdr:to>
    <xdr:sp macro="" textlink="">
      <xdr:nvSpPr>
        <xdr:cNvPr id="51204" name="Line 4">
          <a:extLst>
            <a:ext uri="{FF2B5EF4-FFF2-40B4-BE49-F238E27FC236}">
              <a16:creationId xmlns:a16="http://schemas.microsoft.com/office/drawing/2014/main" id="{170393D8-4F5F-A1A8-6900-6F64DAA3C517}"/>
            </a:ext>
          </a:extLst>
        </xdr:cNvPr>
        <xdr:cNvSpPr>
          <a:spLocks noChangeShapeType="1"/>
        </xdr:cNvSpPr>
      </xdr:nvSpPr>
      <xdr:spPr bwMode="auto">
        <a:xfrm>
          <a:off x="9572625" y="0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14</xdr:col>
      <xdr:colOff>114300</xdr:colOff>
      <xdr:row>0</xdr:row>
      <xdr:rowOff>0</xdr:rowOff>
    </xdr:from>
    <xdr:ext cx="0" cy="190500"/>
    <xdr:sp macro="" textlink="">
      <xdr:nvSpPr>
        <xdr:cNvPr id="51205" name="Rectangle 5">
          <a:extLst>
            <a:ext uri="{FF2B5EF4-FFF2-40B4-BE49-F238E27FC236}">
              <a16:creationId xmlns:a16="http://schemas.microsoft.com/office/drawing/2014/main" id="{84670DF3-6A51-E493-BA32-17BA3792CC33}"/>
            </a:ext>
          </a:extLst>
        </xdr:cNvPr>
        <xdr:cNvSpPr>
          <a:spLocks noChangeArrowheads="1"/>
        </xdr:cNvSpPr>
      </xdr:nvSpPr>
      <xdr:spPr bwMode="auto">
        <a:xfrm>
          <a:off x="5953125" y="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0</xdr:row>
      <xdr:rowOff>0</xdr:rowOff>
    </xdr:from>
    <xdr:ext cx="0" cy="190500"/>
    <xdr:sp macro="" textlink="">
      <xdr:nvSpPr>
        <xdr:cNvPr id="51206" name="Rectangle 6">
          <a:extLst>
            <a:ext uri="{FF2B5EF4-FFF2-40B4-BE49-F238E27FC236}">
              <a16:creationId xmlns:a16="http://schemas.microsoft.com/office/drawing/2014/main" id="{092389B7-A984-9B36-B42E-A24D5437917A}"/>
            </a:ext>
          </a:extLst>
        </xdr:cNvPr>
        <xdr:cNvSpPr>
          <a:spLocks noChangeArrowheads="1"/>
        </xdr:cNvSpPr>
      </xdr:nvSpPr>
      <xdr:spPr bwMode="auto">
        <a:xfrm>
          <a:off x="6353175" y="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342900</xdr:colOff>
      <xdr:row>0</xdr:row>
      <xdr:rowOff>0</xdr:rowOff>
    </xdr:from>
    <xdr:ext cx="0" cy="190500"/>
    <xdr:sp macro="" textlink="">
      <xdr:nvSpPr>
        <xdr:cNvPr id="51207" name="Rectangle 7">
          <a:extLst>
            <a:ext uri="{FF2B5EF4-FFF2-40B4-BE49-F238E27FC236}">
              <a16:creationId xmlns:a16="http://schemas.microsoft.com/office/drawing/2014/main" id="{923175D5-04E1-85B3-C2AA-E0C3FE11C5B1}"/>
            </a:ext>
          </a:extLst>
        </xdr:cNvPr>
        <xdr:cNvSpPr>
          <a:spLocks noChangeArrowheads="1"/>
        </xdr:cNvSpPr>
      </xdr:nvSpPr>
      <xdr:spPr bwMode="auto">
        <a:xfrm>
          <a:off x="6696075" y="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0</xdr:colOff>
      <xdr:row>0</xdr:row>
      <xdr:rowOff>0</xdr:rowOff>
    </xdr:from>
    <xdr:ext cx="0" cy="190500"/>
    <xdr:sp macro="" textlink="">
      <xdr:nvSpPr>
        <xdr:cNvPr id="51208" name="Rectangle 8">
          <a:extLst>
            <a:ext uri="{FF2B5EF4-FFF2-40B4-BE49-F238E27FC236}">
              <a16:creationId xmlns:a16="http://schemas.microsoft.com/office/drawing/2014/main" id="{5866F95C-FDD8-26DE-9A14-DC268C2E2DC9}"/>
            </a:ext>
          </a:extLst>
        </xdr:cNvPr>
        <xdr:cNvSpPr>
          <a:spLocks noChangeArrowheads="1"/>
        </xdr:cNvSpPr>
      </xdr:nvSpPr>
      <xdr:spPr bwMode="auto">
        <a:xfrm>
          <a:off x="6867525" y="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400050</xdr:colOff>
      <xdr:row>0</xdr:row>
      <xdr:rowOff>0</xdr:rowOff>
    </xdr:from>
    <xdr:ext cx="0" cy="114300"/>
    <xdr:sp macro="" textlink="">
      <xdr:nvSpPr>
        <xdr:cNvPr id="51209" name="Rectangle 9">
          <a:extLst>
            <a:ext uri="{FF2B5EF4-FFF2-40B4-BE49-F238E27FC236}">
              <a16:creationId xmlns:a16="http://schemas.microsoft.com/office/drawing/2014/main" id="{F45A7D94-F77D-D4AD-6FEB-DD517A87AE82}"/>
            </a:ext>
          </a:extLst>
        </xdr:cNvPr>
        <xdr:cNvSpPr>
          <a:spLocks noChangeArrowheads="1"/>
        </xdr:cNvSpPr>
      </xdr:nvSpPr>
      <xdr:spPr bwMode="auto">
        <a:xfrm>
          <a:off x="5819775" y="0"/>
          <a:ext cx="0" cy="114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0</xdr:row>
      <xdr:rowOff>0</xdr:rowOff>
    </xdr:from>
    <xdr:ext cx="0" cy="190500"/>
    <xdr:sp macro="" textlink="">
      <xdr:nvSpPr>
        <xdr:cNvPr id="51210" name="Rectangle 10">
          <a:extLst>
            <a:ext uri="{FF2B5EF4-FFF2-40B4-BE49-F238E27FC236}">
              <a16:creationId xmlns:a16="http://schemas.microsoft.com/office/drawing/2014/main" id="{CDEE3913-3147-5654-A37D-09ED90AD3820}"/>
            </a:ext>
          </a:extLst>
        </xdr:cNvPr>
        <xdr:cNvSpPr>
          <a:spLocks noChangeArrowheads="1"/>
        </xdr:cNvSpPr>
      </xdr:nvSpPr>
      <xdr:spPr bwMode="auto">
        <a:xfrm>
          <a:off x="5838825" y="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266700</xdr:colOff>
      <xdr:row>0</xdr:row>
      <xdr:rowOff>0</xdr:rowOff>
    </xdr:from>
    <xdr:ext cx="0" cy="190500"/>
    <xdr:sp macro="" textlink="">
      <xdr:nvSpPr>
        <xdr:cNvPr id="51211" name="Rectangle 11">
          <a:extLst>
            <a:ext uri="{FF2B5EF4-FFF2-40B4-BE49-F238E27FC236}">
              <a16:creationId xmlns:a16="http://schemas.microsoft.com/office/drawing/2014/main" id="{78D96B03-0238-A89B-C7B7-8A6CAF4DD8F0}"/>
            </a:ext>
          </a:extLst>
        </xdr:cNvPr>
        <xdr:cNvSpPr>
          <a:spLocks noChangeArrowheads="1"/>
        </xdr:cNvSpPr>
      </xdr:nvSpPr>
      <xdr:spPr bwMode="auto">
        <a:xfrm>
          <a:off x="6619875" y="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447675</xdr:colOff>
      <xdr:row>0</xdr:row>
      <xdr:rowOff>0</xdr:rowOff>
    </xdr:from>
    <xdr:ext cx="0" cy="190500"/>
    <xdr:sp macro="" textlink="">
      <xdr:nvSpPr>
        <xdr:cNvPr id="51212" name="Rectangle 12">
          <a:extLst>
            <a:ext uri="{FF2B5EF4-FFF2-40B4-BE49-F238E27FC236}">
              <a16:creationId xmlns:a16="http://schemas.microsoft.com/office/drawing/2014/main" id="{24E90DFF-98C1-5EBF-5DA9-EF21057C2F01}"/>
            </a:ext>
          </a:extLst>
        </xdr:cNvPr>
        <xdr:cNvSpPr>
          <a:spLocks noChangeArrowheads="1"/>
        </xdr:cNvSpPr>
      </xdr:nvSpPr>
      <xdr:spPr bwMode="auto">
        <a:xfrm>
          <a:off x="6800850" y="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219075</xdr:colOff>
      <xdr:row>0</xdr:row>
      <xdr:rowOff>0</xdr:rowOff>
    </xdr:from>
    <xdr:ext cx="0" cy="114300"/>
    <xdr:sp macro="" textlink="">
      <xdr:nvSpPr>
        <xdr:cNvPr id="51213" name="Rectangle 13">
          <a:extLst>
            <a:ext uri="{FF2B5EF4-FFF2-40B4-BE49-F238E27FC236}">
              <a16:creationId xmlns:a16="http://schemas.microsoft.com/office/drawing/2014/main" id="{090C3C38-7014-16C9-5E87-DE608ADA8F2A}"/>
            </a:ext>
          </a:extLst>
        </xdr:cNvPr>
        <xdr:cNvSpPr>
          <a:spLocks noChangeArrowheads="1"/>
        </xdr:cNvSpPr>
      </xdr:nvSpPr>
      <xdr:spPr bwMode="auto">
        <a:xfrm>
          <a:off x="6057900" y="0"/>
          <a:ext cx="0" cy="114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180975</xdr:colOff>
      <xdr:row>0</xdr:row>
      <xdr:rowOff>0</xdr:rowOff>
    </xdr:from>
    <xdr:ext cx="0" cy="114300"/>
    <xdr:sp macro="" textlink="">
      <xdr:nvSpPr>
        <xdr:cNvPr id="51214" name="Rectangle 14">
          <a:extLst>
            <a:ext uri="{FF2B5EF4-FFF2-40B4-BE49-F238E27FC236}">
              <a16:creationId xmlns:a16="http://schemas.microsoft.com/office/drawing/2014/main" id="{FAF4C95B-0366-9BAC-0270-9FA4CD6904D0}"/>
            </a:ext>
          </a:extLst>
        </xdr:cNvPr>
        <xdr:cNvSpPr>
          <a:spLocks noChangeArrowheads="1"/>
        </xdr:cNvSpPr>
      </xdr:nvSpPr>
      <xdr:spPr bwMode="auto">
        <a:xfrm>
          <a:off x="6534150" y="0"/>
          <a:ext cx="0" cy="114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219075</xdr:colOff>
      <xdr:row>0</xdr:row>
      <xdr:rowOff>0</xdr:rowOff>
    </xdr:from>
    <xdr:ext cx="0" cy="371475"/>
    <xdr:sp macro="" textlink="">
      <xdr:nvSpPr>
        <xdr:cNvPr id="51215" name="Rectangle 15">
          <a:extLst>
            <a:ext uri="{FF2B5EF4-FFF2-40B4-BE49-F238E27FC236}">
              <a16:creationId xmlns:a16="http://schemas.microsoft.com/office/drawing/2014/main" id="{B97B19BD-E51E-A693-D3B3-66E598397C3B}"/>
            </a:ext>
          </a:extLst>
        </xdr:cNvPr>
        <xdr:cNvSpPr>
          <a:spLocks noChangeArrowheads="1"/>
        </xdr:cNvSpPr>
      </xdr:nvSpPr>
      <xdr:spPr bwMode="auto">
        <a:xfrm>
          <a:off x="5638800" y="0"/>
          <a:ext cx="0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295275</xdr:colOff>
      <xdr:row>0</xdr:row>
      <xdr:rowOff>0</xdr:rowOff>
    </xdr:from>
    <xdr:ext cx="0" cy="371475"/>
    <xdr:sp macro="" textlink="">
      <xdr:nvSpPr>
        <xdr:cNvPr id="51216" name="Rectangle 16">
          <a:extLst>
            <a:ext uri="{FF2B5EF4-FFF2-40B4-BE49-F238E27FC236}">
              <a16:creationId xmlns:a16="http://schemas.microsoft.com/office/drawing/2014/main" id="{1BC2FF23-D793-4637-632D-E263D3071CCE}"/>
            </a:ext>
          </a:extLst>
        </xdr:cNvPr>
        <xdr:cNvSpPr>
          <a:spLocks noChangeArrowheads="1"/>
        </xdr:cNvSpPr>
      </xdr:nvSpPr>
      <xdr:spPr bwMode="auto">
        <a:xfrm>
          <a:off x="6134100" y="0"/>
          <a:ext cx="0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476250</xdr:colOff>
      <xdr:row>0</xdr:row>
      <xdr:rowOff>0</xdr:rowOff>
    </xdr:from>
    <xdr:ext cx="0" cy="371475"/>
    <xdr:sp macro="" textlink="">
      <xdr:nvSpPr>
        <xdr:cNvPr id="51217" name="Rectangle 17">
          <a:extLst>
            <a:ext uri="{FF2B5EF4-FFF2-40B4-BE49-F238E27FC236}">
              <a16:creationId xmlns:a16="http://schemas.microsoft.com/office/drawing/2014/main" id="{98F3A360-14F4-365A-BF49-CBEB8C391BA9}"/>
            </a:ext>
          </a:extLst>
        </xdr:cNvPr>
        <xdr:cNvSpPr>
          <a:spLocks noChangeArrowheads="1"/>
        </xdr:cNvSpPr>
      </xdr:nvSpPr>
      <xdr:spPr bwMode="auto">
        <a:xfrm>
          <a:off x="6315075" y="0"/>
          <a:ext cx="0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28575</xdr:colOff>
      <xdr:row>0</xdr:row>
      <xdr:rowOff>0</xdr:rowOff>
    </xdr:from>
    <xdr:ext cx="0" cy="371475"/>
    <xdr:sp macro="" textlink="">
      <xdr:nvSpPr>
        <xdr:cNvPr id="51218" name="Rectangle 18">
          <a:extLst>
            <a:ext uri="{FF2B5EF4-FFF2-40B4-BE49-F238E27FC236}">
              <a16:creationId xmlns:a16="http://schemas.microsoft.com/office/drawing/2014/main" id="{D55B7A2C-2C0B-86C3-63B1-3D49BE570A07}"/>
            </a:ext>
          </a:extLst>
        </xdr:cNvPr>
        <xdr:cNvSpPr>
          <a:spLocks noChangeArrowheads="1"/>
        </xdr:cNvSpPr>
      </xdr:nvSpPr>
      <xdr:spPr bwMode="auto">
        <a:xfrm>
          <a:off x="6896100" y="0"/>
          <a:ext cx="0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371475</xdr:colOff>
      <xdr:row>0</xdr:row>
      <xdr:rowOff>0</xdr:rowOff>
    </xdr:from>
    <xdr:ext cx="0" cy="190500"/>
    <xdr:sp macro="" textlink="">
      <xdr:nvSpPr>
        <xdr:cNvPr id="51219" name="Rectangle 19">
          <a:extLst>
            <a:ext uri="{FF2B5EF4-FFF2-40B4-BE49-F238E27FC236}">
              <a16:creationId xmlns:a16="http://schemas.microsoft.com/office/drawing/2014/main" id="{82993FCA-039F-B9B0-9CE0-053571A80623}"/>
            </a:ext>
          </a:extLst>
        </xdr:cNvPr>
        <xdr:cNvSpPr>
          <a:spLocks noChangeArrowheads="1"/>
        </xdr:cNvSpPr>
      </xdr:nvSpPr>
      <xdr:spPr bwMode="auto">
        <a:xfrm>
          <a:off x="6210300" y="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190500</xdr:colOff>
      <xdr:row>0</xdr:row>
      <xdr:rowOff>0</xdr:rowOff>
    </xdr:from>
    <xdr:ext cx="0" cy="190500"/>
    <xdr:sp macro="" textlink="">
      <xdr:nvSpPr>
        <xdr:cNvPr id="51220" name="Rectangle 20">
          <a:extLst>
            <a:ext uri="{FF2B5EF4-FFF2-40B4-BE49-F238E27FC236}">
              <a16:creationId xmlns:a16="http://schemas.microsoft.com/office/drawing/2014/main" id="{EB41161F-4B90-423C-74A5-E0C1C8C97A4B}"/>
            </a:ext>
          </a:extLst>
        </xdr:cNvPr>
        <xdr:cNvSpPr>
          <a:spLocks noChangeArrowheads="1"/>
        </xdr:cNvSpPr>
      </xdr:nvSpPr>
      <xdr:spPr bwMode="auto">
        <a:xfrm>
          <a:off x="6029325" y="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76200</xdr:colOff>
      <xdr:row>0</xdr:row>
      <xdr:rowOff>0</xdr:rowOff>
    </xdr:from>
    <xdr:ext cx="0" cy="190500"/>
    <xdr:sp macro="" textlink="">
      <xdr:nvSpPr>
        <xdr:cNvPr id="51221" name="Rectangle 21">
          <a:extLst>
            <a:ext uri="{FF2B5EF4-FFF2-40B4-BE49-F238E27FC236}">
              <a16:creationId xmlns:a16="http://schemas.microsoft.com/office/drawing/2014/main" id="{EDB273AF-1A98-A2A3-E73A-BD909AFD9A5B}"/>
            </a:ext>
          </a:extLst>
        </xdr:cNvPr>
        <xdr:cNvSpPr>
          <a:spLocks noChangeArrowheads="1"/>
        </xdr:cNvSpPr>
      </xdr:nvSpPr>
      <xdr:spPr bwMode="auto">
        <a:xfrm>
          <a:off x="6429375" y="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400050</xdr:colOff>
      <xdr:row>0</xdr:row>
      <xdr:rowOff>0</xdr:rowOff>
    </xdr:from>
    <xdr:ext cx="0" cy="104775"/>
    <xdr:sp macro="" textlink="">
      <xdr:nvSpPr>
        <xdr:cNvPr id="51222" name="Rectangle 22">
          <a:extLst>
            <a:ext uri="{FF2B5EF4-FFF2-40B4-BE49-F238E27FC236}">
              <a16:creationId xmlns:a16="http://schemas.microsoft.com/office/drawing/2014/main" id="{277358E8-4DC5-67D1-DC37-E67E1588AE52}"/>
            </a:ext>
          </a:extLst>
        </xdr:cNvPr>
        <xdr:cNvSpPr>
          <a:spLocks noChangeArrowheads="1"/>
        </xdr:cNvSpPr>
      </xdr:nvSpPr>
      <xdr:spPr bwMode="auto">
        <a:xfrm>
          <a:off x="6238875" y="0"/>
          <a:ext cx="0" cy="104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266700</xdr:colOff>
      <xdr:row>0</xdr:row>
      <xdr:rowOff>0</xdr:rowOff>
    </xdr:from>
    <xdr:ext cx="0" cy="104775"/>
    <xdr:sp macro="" textlink="">
      <xdr:nvSpPr>
        <xdr:cNvPr id="51223" name="Rectangle 23">
          <a:extLst>
            <a:ext uri="{FF2B5EF4-FFF2-40B4-BE49-F238E27FC236}">
              <a16:creationId xmlns:a16="http://schemas.microsoft.com/office/drawing/2014/main" id="{C15704B0-A521-9233-A70F-F89392FBD26D}"/>
            </a:ext>
          </a:extLst>
        </xdr:cNvPr>
        <xdr:cNvSpPr>
          <a:spLocks noChangeArrowheads="1"/>
        </xdr:cNvSpPr>
      </xdr:nvSpPr>
      <xdr:spPr bwMode="auto">
        <a:xfrm>
          <a:off x="6619875" y="0"/>
          <a:ext cx="0" cy="104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495300</xdr:colOff>
      <xdr:row>0</xdr:row>
      <xdr:rowOff>0</xdr:rowOff>
    </xdr:from>
    <xdr:ext cx="0" cy="190500"/>
    <xdr:sp macro="" textlink="">
      <xdr:nvSpPr>
        <xdr:cNvPr id="51224" name="Rectangle 24">
          <a:extLst>
            <a:ext uri="{FF2B5EF4-FFF2-40B4-BE49-F238E27FC236}">
              <a16:creationId xmlns:a16="http://schemas.microsoft.com/office/drawing/2014/main" id="{8E0C9948-90C1-A5C8-6750-2BD79BFFA69E}"/>
            </a:ext>
          </a:extLst>
        </xdr:cNvPr>
        <xdr:cNvSpPr>
          <a:spLocks noChangeArrowheads="1"/>
        </xdr:cNvSpPr>
      </xdr:nvSpPr>
      <xdr:spPr bwMode="auto">
        <a:xfrm>
          <a:off x="6334125" y="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114300</xdr:colOff>
      <xdr:row>0</xdr:row>
      <xdr:rowOff>0</xdr:rowOff>
    </xdr:from>
    <xdr:ext cx="0" cy="333375"/>
    <xdr:sp macro="" textlink="">
      <xdr:nvSpPr>
        <xdr:cNvPr id="51225" name="Rectangle 25">
          <a:extLst>
            <a:ext uri="{FF2B5EF4-FFF2-40B4-BE49-F238E27FC236}">
              <a16:creationId xmlns:a16="http://schemas.microsoft.com/office/drawing/2014/main" id="{6E16F653-4C6F-B7EA-D327-FEDAF31933FD}"/>
            </a:ext>
          </a:extLst>
        </xdr:cNvPr>
        <xdr:cNvSpPr>
          <a:spLocks noChangeArrowheads="1"/>
        </xdr:cNvSpPr>
      </xdr:nvSpPr>
      <xdr:spPr bwMode="auto">
        <a:xfrm>
          <a:off x="5953125" y="0"/>
          <a:ext cx="0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342900</xdr:colOff>
      <xdr:row>0</xdr:row>
      <xdr:rowOff>0</xdr:rowOff>
    </xdr:from>
    <xdr:ext cx="0" cy="333375"/>
    <xdr:sp macro="" textlink="">
      <xdr:nvSpPr>
        <xdr:cNvPr id="51226" name="Rectangle 26">
          <a:extLst>
            <a:ext uri="{FF2B5EF4-FFF2-40B4-BE49-F238E27FC236}">
              <a16:creationId xmlns:a16="http://schemas.microsoft.com/office/drawing/2014/main" id="{95FB53FC-E924-D566-BE81-847BEAE6FF2C}"/>
            </a:ext>
          </a:extLst>
        </xdr:cNvPr>
        <xdr:cNvSpPr>
          <a:spLocks noChangeArrowheads="1"/>
        </xdr:cNvSpPr>
      </xdr:nvSpPr>
      <xdr:spPr bwMode="auto">
        <a:xfrm>
          <a:off x="6696075" y="0"/>
          <a:ext cx="0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180975</xdr:colOff>
      <xdr:row>0</xdr:row>
      <xdr:rowOff>0</xdr:rowOff>
    </xdr:from>
    <xdr:ext cx="0" cy="161925"/>
    <xdr:sp macro="" textlink="">
      <xdr:nvSpPr>
        <xdr:cNvPr id="51227" name="Rectangle 27">
          <a:extLst>
            <a:ext uri="{FF2B5EF4-FFF2-40B4-BE49-F238E27FC236}">
              <a16:creationId xmlns:a16="http://schemas.microsoft.com/office/drawing/2014/main" id="{E9ACC829-883D-EA81-7809-F834F22E8E58}"/>
            </a:ext>
          </a:extLst>
        </xdr:cNvPr>
        <xdr:cNvSpPr>
          <a:spLocks noChangeArrowheads="1"/>
        </xdr:cNvSpPr>
      </xdr:nvSpPr>
      <xdr:spPr bwMode="auto">
        <a:xfrm>
          <a:off x="1476375" y="0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0</xdr:row>
      <xdr:rowOff>0</xdr:rowOff>
    </xdr:from>
    <xdr:ext cx="0" cy="161925"/>
    <xdr:sp macro="" textlink="">
      <xdr:nvSpPr>
        <xdr:cNvPr id="51228" name="Rectangle 28">
          <a:extLst>
            <a:ext uri="{FF2B5EF4-FFF2-40B4-BE49-F238E27FC236}">
              <a16:creationId xmlns:a16="http://schemas.microsoft.com/office/drawing/2014/main" id="{217660BD-3FF4-B070-7113-4992C41D070B}"/>
            </a:ext>
          </a:extLst>
        </xdr:cNvPr>
        <xdr:cNvSpPr>
          <a:spLocks noChangeArrowheads="1"/>
        </xdr:cNvSpPr>
      </xdr:nvSpPr>
      <xdr:spPr bwMode="auto">
        <a:xfrm>
          <a:off x="1714500" y="0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180975</xdr:colOff>
      <xdr:row>0</xdr:row>
      <xdr:rowOff>0</xdr:rowOff>
    </xdr:from>
    <xdr:ext cx="0" cy="161925"/>
    <xdr:sp macro="" textlink="">
      <xdr:nvSpPr>
        <xdr:cNvPr id="51229" name="Rectangle 29">
          <a:extLst>
            <a:ext uri="{FF2B5EF4-FFF2-40B4-BE49-F238E27FC236}">
              <a16:creationId xmlns:a16="http://schemas.microsoft.com/office/drawing/2014/main" id="{5A80D335-03B4-5404-634B-5DE67916A922}"/>
            </a:ext>
          </a:extLst>
        </xdr:cNvPr>
        <xdr:cNvSpPr>
          <a:spLocks noChangeArrowheads="1"/>
        </xdr:cNvSpPr>
      </xdr:nvSpPr>
      <xdr:spPr bwMode="auto">
        <a:xfrm>
          <a:off x="1895475" y="0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295275</xdr:colOff>
      <xdr:row>0</xdr:row>
      <xdr:rowOff>0</xdr:rowOff>
    </xdr:from>
    <xdr:ext cx="64120" cy="147476"/>
    <xdr:sp macro="" textlink="">
      <xdr:nvSpPr>
        <xdr:cNvPr id="51230" name="Rectangle 30">
          <a:extLst>
            <a:ext uri="{FF2B5EF4-FFF2-40B4-BE49-F238E27FC236}">
              <a16:creationId xmlns:a16="http://schemas.microsoft.com/office/drawing/2014/main" id="{48E37A69-9F19-168A-180A-26ED090619F6}"/>
            </a:ext>
          </a:extLst>
        </xdr:cNvPr>
        <xdr:cNvSpPr>
          <a:spLocks noChangeArrowheads="1"/>
        </xdr:cNvSpPr>
      </xdr:nvSpPr>
      <xdr:spPr bwMode="auto">
        <a:xfrm>
          <a:off x="1590675" y="0"/>
          <a:ext cx="64120" cy="1474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0" tIns="0" rIns="0" bIns="0" anchor="t">
          <a:spAutoFit/>
        </a:bodyPr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oneCellAnchor>
  <xdr:twoCellAnchor editAs="oneCell">
    <xdr:from>
      <xdr:col>4</xdr:col>
      <xdr:colOff>390525</xdr:colOff>
      <xdr:row>0</xdr:row>
      <xdr:rowOff>0</xdr:rowOff>
    </xdr:from>
    <xdr:to>
      <xdr:col>5</xdr:col>
      <xdr:colOff>95250</xdr:colOff>
      <xdr:row>1</xdr:row>
      <xdr:rowOff>76200</xdr:rowOff>
    </xdr:to>
    <xdr:sp macro="" textlink="">
      <xdr:nvSpPr>
        <xdr:cNvPr id="51231" name="Rectangle 31">
          <a:extLst>
            <a:ext uri="{FF2B5EF4-FFF2-40B4-BE49-F238E27FC236}">
              <a16:creationId xmlns:a16="http://schemas.microsoft.com/office/drawing/2014/main" id="{9005EBB7-5973-5646-2874-8E1029B43797}"/>
            </a:ext>
          </a:extLst>
        </xdr:cNvPr>
        <xdr:cNvSpPr>
          <a:spLocks noChangeArrowheads="1"/>
        </xdr:cNvSpPr>
      </xdr:nvSpPr>
      <xdr:spPr bwMode="auto">
        <a:xfrm>
          <a:off x="2105025" y="0"/>
          <a:ext cx="12382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4</xdr:col>
      <xdr:colOff>76200</xdr:colOff>
      <xdr:row>0</xdr:row>
      <xdr:rowOff>0</xdr:rowOff>
    </xdr:from>
    <xdr:ext cx="0" cy="161925"/>
    <xdr:sp macro="" textlink="">
      <xdr:nvSpPr>
        <xdr:cNvPr id="51232" name="Rectangle 32">
          <a:extLst>
            <a:ext uri="{FF2B5EF4-FFF2-40B4-BE49-F238E27FC236}">
              <a16:creationId xmlns:a16="http://schemas.microsoft.com/office/drawing/2014/main" id="{C95FB1D3-610F-DAAC-9683-220D8C789D91}"/>
            </a:ext>
          </a:extLst>
        </xdr:cNvPr>
        <xdr:cNvSpPr>
          <a:spLocks noChangeArrowheads="1"/>
        </xdr:cNvSpPr>
      </xdr:nvSpPr>
      <xdr:spPr bwMode="auto">
        <a:xfrm>
          <a:off x="1790700" y="0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114300</xdr:colOff>
      <xdr:row>0</xdr:row>
      <xdr:rowOff>0</xdr:rowOff>
    </xdr:from>
    <xdr:ext cx="0" cy="323850"/>
    <xdr:sp macro="" textlink="">
      <xdr:nvSpPr>
        <xdr:cNvPr id="51233" name="Rectangle 33">
          <a:extLst>
            <a:ext uri="{FF2B5EF4-FFF2-40B4-BE49-F238E27FC236}">
              <a16:creationId xmlns:a16="http://schemas.microsoft.com/office/drawing/2014/main" id="{F8D51F88-72CB-EBAA-9D7B-9A2D8F552DB2}"/>
            </a:ext>
          </a:extLst>
        </xdr:cNvPr>
        <xdr:cNvSpPr>
          <a:spLocks noChangeArrowheads="1"/>
        </xdr:cNvSpPr>
      </xdr:nvSpPr>
      <xdr:spPr bwMode="auto">
        <a:xfrm>
          <a:off x="1409700" y="0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0</xdr:colOff>
      <xdr:row>0</xdr:row>
      <xdr:rowOff>0</xdr:rowOff>
    </xdr:from>
    <xdr:ext cx="0" cy="323850"/>
    <xdr:sp macro="" textlink="">
      <xdr:nvSpPr>
        <xdr:cNvPr id="51234" name="Rectangle 34">
          <a:extLst>
            <a:ext uri="{FF2B5EF4-FFF2-40B4-BE49-F238E27FC236}">
              <a16:creationId xmlns:a16="http://schemas.microsoft.com/office/drawing/2014/main" id="{0BEE03B1-94E4-B4CB-074A-119239373CA1}"/>
            </a:ext>
          </a:extLst>
        </xdr:cNvPr>
        <xdr:cNvSpPr>
          <a:spLocks noChangeArrowheads="1"/>
        </xdr:cNvSpPr>
      </xdr:nvSpPr>
      <xdr:spPr bwMode="auto">
        <a:xfrm>
          <a:off x="2133600" y="0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180975</xdr:colOff>
      <xdr:row>0</xdr:row>
      <xdr:rowOff>0</xdr:rowOff>
    </xdr:from>
    <xdr:ext cx="0" cy="190500"/>
    <xdr:sp macro="" textlink="">
      <xdr:nvSpPr>
        <xdr:cNvPr id="51235" name="Rectangle 35">
          <a:extLst>
            <a:ext uri="{FF2B5EF4-FFF2-40B4-BE49-F238E27FC236}">
              <a16:creationId xmlns:a16="http://schemas.microsoft.com/office/drawing/2014/main" id="{6B284407-6930-2937-DDA5-E5503863173E}"/>
            </a:ext>
          </a:extLst>
        </xdr:cNvPr>
        <xdr:cNvSpPr>
          <a:spLocks noChangeArrowheads="1"/>
        </xdr:cNvSpPr>
      </xdr:nvSpPr>
      <xdr:spPr bwMode="auto">
        <a:xfrm>
          <a:off x="1476375" y="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409575</xdr:colOff>
      <xdr:row>0</xdr:row>
      <xdr:rowOff>0</xdr:rowOff>
    </xdr:from>
    <xdr:ext cx="0" cy="190500"/>
    <xdr:sp macro="" textlink="">
      <xdr:nvSpPr>
        <xdr:cNvPr id="51236" name="Rectangle 36">
          <a:extLst>
            <a:ext uri="{FF2B5EF4-FFF2-40B4-BE49-F238E27FC236}">
              <a16:creationId xmlns:a16="http://schemas.microsoft.com/office/drawing/2014/main" id="{4F7C76D4-0D4E-E7DF-7E06-5ADFA849D9FE}"/>
            </a:ext>
          </a:extLst>
        </xdr:cNvPr>
        <xdr:cNvSpPr>
          <a:spLocks noChangeArrowheads="1"/>
        </xdr:cNvSpPr>
      </xdr:nvSpPr>
      <xdr:spPr bwMode="auto">
        <a:xfrm>
          <a:off x="1704975" y="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180975</xdr:colOff>
      <xdr:row>0</xdr:row>
      <xdr:rowOff>0</xdr:rowOff>
    </xdr:from>
    <xdr:ext cx="35266" cy="162160"/>
    <xdr:sp macro="" textlink="">
      <xdr:nvSpPr>
        <xdr:cNvPr id="51237" name="Rectangle 37">
          <a:extLst>
            <a:ext uri="{FF2B5EF4-FFF2-40B4-BE49-F238E27FC236}">
              <a16:creationId xmlns:a16="http://schemas.microsoft.com/office/drawing/2014/main" id="{FF5D42AC-0193-7844-0735-30048EB24BD0}"/>
            </a:ext>
          </a:extLst>
        </xdr:cNvPr>
        <xdr:cNvSpPr>
          <a:spLocks noChangeArrowheads="1"/>
        </xdr:cNvSpPr>
      </xdr:nvSpPr>
      <xdr:spPr bwMode="auto">
        <a:xfrm>
          <a:off x="1895475" y="0"/>
          <a:ext cx="35266" cy="1621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0" tIns="0" rIns="0" bIns="0" anchor="t">
          <a:spAutoFit/>
        </a:bodyPr>
        <a:lstStyle/>
        <a:p>
          <a:pPr algn="l" rtl="0">
            <a:defRPr sz="1000"/>
          </a:pPr>
          <a:r>
            <a:rPr lang="en-US" sz="11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</a:t>
          </a:r>
        </a:p>
      </xdr:txBody>
    </xdr:sp>
    <xdr:clientData/>
  </xdr:oneCellAnchor>
  <xdr:oneCellAnchor>
    <xdr:from>
      <xdr:col>3</xdr:col>
      <xdr:colOff>295275</xdr:colOff>
      <xdr:row>0</xdr:row>
      <xdr:rowOff>0</xdr:rowOff>
    </xdr:from>
    <xdr:ext cx="0" cy="190500"/>
    <xdr:sp macro="" textlink="">
      <xdr:nvSpPr>
        <xdr:cNvPr id="51238" name="Rectangle 38">
          <a:extLst>
            <a:ext uri="{FF2B5EF4-FFF2-40B4-BE49-F238E27FC236}">
              <a16:creationId xmlns:a16="http://schemas.microsoft.com/office/drawing/2014/main" id="{98DF144E-BEC6-A2D9-1351-E0CCA1689273}"/>
            </a:ext>
          </a:extLst>
        </xdr:cNvPr>
        <xdr:cNvSpPr>
          <a:spLocks noChangeArrowheads="1"/>
        </xdr:cNvSpPr>
      </xdr:nvSpPr>
      <xdr:spPr bwMode="auto">
        <a:xfrm>
          <a:off x="1590675" y="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0</xdr:row>
      <xdr:rowOff>0</xdr:rowOff>
    </xdr:from>
    <xdr:ext cx="0" cy="104775"/>
    <xdr:sp macro="" textlink="">
      <xdr:nvSpPr>
        <xdr:cNvPr id="51239" name="Rectangle 39">
          <a:extLst>
            <a:ext uri="{FF2B5EF4-FFF2-40B4-BE49-F238E27FC236}">
              <a16:creationId xmlns:a16="http://schemas.microsoft.com/office/drawing/2014/main" id="{F6FF26C9-58CD-D6E6-8684-BC2F6ECA2F7E}"/>
            </a:ext>
          </a:extLst>
        </xdr:cNvPr>
        <xdr:cNvSpPr>
          <a:spLocks noChangeArrowheads="1"/>
        </xdr:cNvSpPr>
      </xdr:nvSpPr>
      <xdr:spPr bwMode="auto">
        <a:xfrm>
          <a:off x="1714500" y="0"/>
          <a:ext cx="0" cy="104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400050</xdr:colOff>
      <xdr:row>0</xdr:row>
      <xdr:rowOff>0</xdr:rowOff>
    </xdr:from>
    <xdr:ext cx="0" cy="104775"/>
    <xdr:sp macro="" textlink="">
      <xdr:nvSpPr>
        <xdr:cNvPr id="51240" name="Rectangle 40">
          <a:extLst>
            <a:ext uri="{FF2B5EF4-FFF2-40B4-BE49-F238E27FC236}">
              <a16:creationId xmlns:a16="http://schemas.microsoft.com/office/drawing/2014/main" id="{D5F7EF32-62F9-0660-1635-2F60C87612F9}"/>
            </a:ext>
          </a:extLst>
        </xdr:cNvPr>
        <xdr:cNvSpPr>
          <a:spLocks noChangeArrowheads="1"/>
        </xdr:cNvSpPr>
      </xdr:nvSpPr>
      <xdr:spPr bwMode="auto">
        <a:xfrm>
          <a:off x="2114550" y="0"/>
          <a:ext cx="0" cy="104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76200</xdr:colOff>
      <xdr:row>0</xdr:row>
      <xdr:rowOff>0</xdr:rowOff>
    </xdr:from>
    <xdr:ext cx="0" cy="190500"/>
    <xdr:sp macro="" textlink="">
      <xdr:nvSpPr>
        <xdr:cNvPr id="51241" name="Rectangle 41">
          <a:extLst>
            <a:ext uri="{FF2B5EF4-FFF2-40B4-BE49-F238E27FC236}">
              <a16:creationId xmlns:a16="http://schemas.microsoft.com/office/drawing/2014/main" id="{A36BC99F-2971-D495-A583-05F66F3A533E}"/>
            </a:ext>
          </a:extLst>
        </xdr:cNvPr>
        <xdr:cNvSpPr>
          <a:spLocks noChangeArrowheads="1"/>
        </xdr:cNvSpPr>
      </xdr:nvSpPr>
      <xdr:spPr bwMode="auto">
        <a:xfrm>
          <a:off x="1790700" y="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114300</xdr:colOff>
      <xdr:row>0</xdr:row>
      <xdr:rowOff>0</xdr:rowOff>
    </xdr:from>
    <xdr:ext cx="0" cy="342900"/>
    <xdr:sp macro="" textlink="">
      <xdr:nvSpPr>
        <xdr:cNvPr id="51242" name="Rectangle 42">
          <a:extLst>
            <a:ext uri="{FF2B5EF4-FFF2-40B4-BE49-F238E27FC236}">
              <a16:creationId xmlns:a16="http://schemas.microsoft.com/office/drawing/2014/main" id="{99AB51ED-7425-A601-A0EE-22AF572568F9}"/>
            </a:ext>
          </a:extLst>
        </xdr:cNvPr>
        <xdr:cNvSpPr>
          <a:spLocks noChangeArrowheads="1"/>
        </xdr:cNvSpPr>
      </xdr:nvSpPr>
      <xdr:spPr bwMode="auto">
        <a:xfrm>
          <a:off x="1409700" y="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0</xdr:colOff>
      <xdr:row>0</xdr:row>
      <xdr:rowOff>0</xdr:rowOff>
    </xdr:from>
    <xdr:ext cx="0" cy="342900"/>
    <xdr:sp macro="" textlink="">
      <xdr:nvSpPr>
        <xdr:cNvPr id="51243" name="Rectangle 43">
          <a:extLst>
            <a:ext uri="{FF2B5EF4-FFF2-40B4-BE49-F238E27FC236}">
              <a16:creationId xmlns:a16="http://schemas.microsoft.com/office/drawing/2014/main" id="{14A5F50E-21FC-5381-E0C6-6AA97DE2AD6A}"/>
            </a:ext>
          </a:extLst>
        </xdr:cNvPr>
        <xdr:cNvSpPr>
          <a:spLocks noChangeArrowheads="1"/>
        </xdr:cNvSpPr>
      </xdr:nvSpPr>
      <xdr:spPr bwMode="auto">
        <a:xfrm>
          <a:off x="2133600" y="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400050</xdr:colOff>
      <xdr:row>0</xdr:row>
      <xdr:rowOff>0</xdr:rowOff>
    </xdr:from>
    <xdr:ext cx="0" cy="209550"/>
    <xdr:sp macro="" textlink="">
      <xdr:nvSpPr>
        <xdr:cNvPr id="51244" name="Rectangle 44">
          <a:extLst>
            <a:ext uri="{FF2B5EF4-FFF2-40B4-BE49-F238E27FC236}">
              <a16:creationId xmlns:a16="http://schemas.microsoft.com/office/drawing/2014/main" id="{3178782B-1B16-B987-604C-60938942CBB1}"/>
            </a:ext>
          </a:extLst>
        </xdr:cNvPr>
        <xdr:cNvSpPr>
          <a:spLocks noChangeArrowheads="1"/>
        </xdr:cNvSpPr>
      </xdr:nvSpPr>
      <xdr:spPr bwMode="auto">
        <a:xfrm>
          <a:off x="5819775" y="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238125</xdr:colOff>
      <xdr:row>0</xdr:row>
      <xdr:rowOff>0</xdr:rowOff>
    </xdr:from>
    <xdr:ext cx="0" cy="209550"/>
    <xdr:sp macro="" textlink="">
      <xdr:nvSpPr>
        <xdr:cNvPr id="51245" name="Rectangle 45">
          <a:extLst>
            <a:ext uri="{FF2B5EF4-FFF2-40B4-BE49-F238E27FC236}">
              <a16:creationId xmlns:a16="http://schemas.microsoft.com/office/drawing/2014/main" id="{3A5AAD81-5F95-EF08-7E8D-FC7F563A5884}"/>
            </a:ext>
          </a:extLst>
        </xdr:cNvPr>
        <xdr:cNvSpPr>
          <a:spLocks noChangeArrowheads="1"/>
        </xdr:cNvSpPr>
      </xdr:nvSpPr>
      <xdr:spPr bwMode="auto">
        <a:xfrm>
          <a:off x="6076950" y="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161925</xdr:colOff>
      <xdr:row>0</xdr:row>
      <xdr:rowOff>0</xdr:rowOff>
    </xdr:from>
    <xdr:ext cx="0" cy="209550"/>
    <xdr:sp macro="" textlink="">
      <xdr:nvSpPr>
        <xdr:cNvPr id="51246" name="Rectangle 46">
          <a:extLst>
            <a:ext uri="{FF2B5EF4-FFF2-40B4-BE49-F238E27FC236}">
              <a16:creationId xmlns:a16="http://schemas.microsoft.com/office/drawing/2014/main" id="{D94ECB4E-7AB4-226A-1A97-AD31EEFB8850}"/>
            </a:ext>
          </a:extLst>
        </xdr:cNvPr>
        <xdr:cNvSpPr>
          <a:spLocks noChangeArrowheads="1"/>
        </xdr:cNvSpPr>
      </xdr:nvSpPr>
      <xdr:spPr bwMode="auto">
        <a:xfrm>
          <a:off x="6515100" y="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0</xdr:colOff>
      <xdr:row>0</xdr:row>
      <xdr:rowOff>0</xdr:rowOff>
    </xdr:from>
    <xdr:ext cx="0" cy="209550"/>
    <xdr:sp macro="" textlink="">
      <xdr:nvSpPr>
        <xdr:cNvPr id="51247" name="Rectangle 47">
          <a:extLst>
            <a:ext uri="{FF2B5EF4-FFF2-40B4-BE49-F238E27FC236}">
              <a16:creationId xmlns:a16="http://schemas.microsoft.com/office/drawing/2014/main" id="{C0D145B3-9CD5-264C-053E-3EBE47D7DF1D}"/>
            </a:ext>
          </a:extLst>
        </xdr:cNvPr>
        <xdr:cNvSpPr>
          <a:spLocks noChangeArrowheads="1"/>
        </xdr:cNvSpPr>
      </xdr:nvSpPr>
      <xdr:spPr bwMode="auto">
        <a:xfrm>
          <a:off x="6867525" y="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180975</xdr:colOff>
      <xdr:row>0</xdr:row>
      <xdr:rowOff>0</xdr:rowOff>
    </xdr:from>
    <xdr:ext cx="0" cy="209550"/>
    <xdr:sp macro="" textlink="">
      <xdr:nvSpPr>
        <xdr:cNvPr id="51248" name="Rectangle 48">
          <a:extLst>
            <a:ext uri="{FF2B5EF4-FFF2-40B4-BE49-F238E27FC236}">
              <a16:creationId xmlns:a16="http://schemas.microsoft.com/office/drawing/2014/main" id="{BEF876AB-1E49-F672-CD43-8D499C790B6D}"/>
            </a:ext>
          </a:extLst>
        </xdr:cNvPr>
        <xdr:cNvSpPr>
          <a:spLocks noChangeArrowheads="1"/>
        </xdr:cNvSpPr>
      </xdr:nvSpPr>
      <xdr:spPr bwMode="auto">
        <a:xfrm>
          <a:off x="7048500" y="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114300</xdr:colOff>
      <xdr:row>0</xdr:row>
      <xdr:rowOff>0</xdr:rowOff>
    </xdr:from>
    <xdr:ext cx="0" cy="209550"/>
    <xdr:sp macro="" textlink="">
      <xdr:nvSpPr>
        <xdr:cNvPr id="51249" name="Rectangle 49">
          <a:extLst>
            <a:ext uri="{FF2B5EF4-FFF2-40B4-BE49-F238E27FC236}">
              <a16:creationId xmlns:a16="http://schemas.microsoft.com/office/drawing/2014/main" id="{391A29E5-6D20-55AD-7871-BE696E23BB0B}"/>
            </a:ext>
          </a:extLst>
        </xdr:cNvPr>
        <xdr:cNvSpPr>
          <a:spLocks noChangeArrowheads="1"/>
        </xdr:cNvSpPr>
      </xdr:nvSpPr>
      <xdr:spPr bwMode="auto">
        <a:xfrm>
          <a:off x="5953125" y="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495300</xdr:colOff>
      <xdr:row>0</xdr:row>
      <xdr:rowOff>0</xdr:rowOff>
    </xdr:from>
    <xdr:ext cx="0" cy="209550"/>
    <xdr:sp macro="" textlink="">
      <xdr:nvSpPr>
        <xdr:cNvPr id="51250" name="Rectangle 50">
          <a:extLst>
            <a:ext uri="{FF2B5EF4-FFF2-40B4-BE49-F238E27FC236}">
              <a16:creationId xmlns:a16="http://schemas.microsoft.com/office/drawing/2014/main" id="{DB004CFA-54AC-DBCC-8FAE-52390D7CE12B}"/>
            </a:ext>
          </a:extLst>
        </xdr:cNvPr>
        <xdr:cNvSpPr>
          <a:spLocks noChangeArrowheads="1"/>
        </xdr:cNvSpPr>
      </xdr:nvSpPr>
      <xdr:spPr bwMode="auto">
        <a:xfrm>
          <a:off x="6848475" y="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76200</xdr:colOff>
      <xdr:row>0</xdr:row>
      <xdr:rowOff>0</xdr:rowOff>
    </xdr:from>
    <xdr:ext cx="0" cy="209550"/>
    <xdr:sp macro="" textlink="">
      <xdr:nvSpPr>
        <xdr:cNvPr id="51251" name="Rectangle 51">
          <a:extLst>
            <a:ext uri="{FF2B5EF4-FFF2-40B4-BE49-F238E27FC236}">
              <a16:creationId xmlns:a16="http://schemas.microsoft.com/office/drawing/2014/main" id="{054527C1-109E-0E04-B3C2-560CEC2FCC11}"/>
            </a:ext>
          </a:extLst>
        </xdr:cNvPr>
        <xdr:cNvSpPr>
          <a:spLocks noChangeArrowheads="1"/>
        </xdr:cNvSpPr>
      </xdr:nvSpPr>
      <xdr:spPr bwMode="auto">
        <a:xfrm>
          <a:off x="6943725" y="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342900</xdr:colOff>
      <xdr:row>0</xdr:row>
      <xdr:rowOff>0</xdr:rowOff>
    </xdr:from>
    <xdr:ext cx="0" cy="142875"/>
    <xdr:sp macro="" textlink="">
      <xdr:nvSpPr>
        <xdr:cNvPr id="51252" name="Rectangle 52">
          <a:extLst>
            <a:ext uri="{FF2B5EF4-FFF2-40B4-BE49-F238E27FC236}">
              <a16:creationId xmlns:a16="http://schemas.microsoft.com/office/drawing/2014/main" id="{9661FA50-F239-FC34-B92E-38B03FDB2A24}"/>
            </a:ext>
          </a:extLst>
        </xdr:cNvPr>
        <xdr:cNvSpPr>
          <a:spLocks noChangeArrowheads="1"/>
        </xdr:cNvSpPr>
      </xdr:nvSpPr>
      <xdr:spPr bwMode="auto">
        <a:xfrm>
          <a:off x="6181725" y="0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476250</xdr:colOff>
      <xdr:row>0</xdr:row>
      <xdr:rowOff>0</xdr:rowOff>
    </xdr:from>
    <xdr:ext cx="0" cy="142875"/>
    <xdr:sp macro="" textlink="">
      <xdr:nvSpPr>
        <xdr:cNvPr id="51253" name="Rectangle 53">
          <a:extLst>
            <a:ext uri="{FF2B5EF4-FFF2-40B4-BE49-F238E27FC236}">
              <a16:creationId xmlns:a16="http://schemas.microsoft.com/office/drawing/2014/main" id="{84A6E476-5E3E-CFFC-65A1-3BB7954FFFD3}"/>
            </a:ext>
          </a:extLst>
        </xdr:cNvPr>
        <xdr:cNvSpPr>
          <a:spLocks noChangeArrowheads="1"/>
        </xdr:cNvSpPr>
      </xdr:nvSpPr>
      <xdr:spPr bwMode="auto">
        <a:xfrm>
          <a:off x="6315075" y="0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371475</xdr:colOff>
      <xdr:row>0</xdr:row>
      <xdr:rowOff>0</xdr:rowOff>
    </xdr:from>
    <xdr:ext cx="0" cy="142875"/>
    <xdr:sp macro="" textlink="">
      <xdr:nvSpPr>
        <xdr:cNvPr id="51254" name="Rectangle 54">
          <a:extLst>
            <a:ext uri="{FF2B5EF4-FFF2-40B4-BE49-F238E27FC236}">
              <a16:creationId xmlns:a16="http://schemas.microsoft.com/office/drawing/2014/main" id="{6EA17012-6C29-51FF-CBC9-CA545581C704}"/>
            </a:ext>
          </a:extLst>
        </xdr:cNvPr>
        <xdr:cNvSpPr>
          <a:spLocks noChangeArrowheads="1"/>
        </xdr:cNvSpPr>
      </xdr:nvSpPr>
      <xdr:spPr bwMode="auto">
        <a:xfrm>
          <a:off x="6724650" y="0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333375</xdr:colOff>
      <xdr:row>0</xdr:row>
      <xdr:rowOff>0</xdr:rowOff>
    </xdr:from>
    <xdr:ext cx="0" cy="390525"/>
    <xdr:sp macro="" textlink="">
      <xdr:nvSpPr>
        <xdr:cNvPr id="51255" name="Rectangle 55">
          <a:extLst>
            <a:ext uri="{FF2B5EF4-FFF2-40B4-BE49-F238E27FC236}">
              <a16:creationId xmlns:a16="http://schemas.microsoft.com/office/drawing/2014/main" id="{E68DCDF7-E67E-00D6-280B-B0B84A656B7D}"/>
            </a:ext>
          </a:extLst>
        </xdr:cNvPr>
        <xdr:cNvSpPr>
          <a:spLocks noChangeArrowheads="1"/>
        </xdr:cNvSpPr>
      </xdr:nvSpPr>
      <xdr:spPr bwMode="auto">
        <a:xfrm>
          <a:off x="5753100" y="0"/>
          <a:ext cx="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400050</xdr:colOff>
      <xdr:row>0</xdr:row>
      <xdr:rowOff>0</xdr:rowOff>
    </xdr:from>
    <xdr:ext cx="0" cy="390525"/>
    <xdr:sp macro="" textlink="">
      <xdr:nvSpPr>
        <xdr:cNvPr id="51256" name="Rectangle 56">
          <a:extLst>
            <a:ext uri="{FF2B5EF4-FFF2-40B4-BE49-F238E27FC236}">
              <a16:creationId xmlns:a16="http://schemas.microsoft.com/office/drawing/2014/main" id="{2F069C24-8A52-A860-D0A7-77E123379403}"/>
            </a:ext>
          </a:extLst>
        </xdr:cNvPr>
        <xdr:cNvSpPr>
          <a:spLocks noChangeArrowheads="1"/>
        </xdr:cNvSpPr>
      </xdr:nvSpPr>
      <xdr:spPr bwMode="auto">
        <a:xfrm>
          <a:off x="6238875" y="0"/>
          <a:ext cx="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114300</xdr:colOff>
      <xdr:row>0</xdr:row>
      <xdr:rowOff>0</xdr:rowOff>
    </xdr:from>
    <xdr:ext cx="0" cy="390525"/>
    <xdr:sp macro="" textlink="">
      <xdr:nvSpPr>
        <xdr:cNvPr id="51257" name="Rectangle 57">
          <a:extLst>
            <a:ext uri="{FF2B5EF4-FFF2-40B4-BE49-F238E27FC236}">
              <a16:creationId xmlns:a16="http://schemas.microsoft.com/office/drawing/2014/main" id="{F2E01B04-E274-801B-45DD-2329D4DE39BD}"/>
            </a:ext>
          </a:extLst>
        </xdr:cNvPr>
        <xdr:cNvSpPr>
          <a:spLocks noChangeArrowheads="1"/>
        </xdr:cNvSpPr>
      </xdr:nvSpPr>
      <xdr:spPr bwMode="auto">
        <a:xfrm>
          <a:off x="6467475" y="0"/>
          <a:ext cx="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238125</xdr:colOff>
      <xdr:row>0</xdr:row>
      <xdr:rowOff>0</xdr:rowOff>
    </xdr:from>
    <xdr:ext cx="0" cy="390525"/>
    <xdr:sp macro="" textlink="">
      <xdr:nvSpPr>
        <xdr:cNvPr id="51258" name="Rectangle 58">
          <a:extLst>
            <a:ext uri="{FF2B5EF4-FFF2-40B4-BE49-F238E27FC236}">
              <a16:creationId xmlns:a16="http://schemas.microsoft.com/office/drawing/2014/main" id="{0EA7C6DD-0C96-FAC4-3315-289EE7E1BBD0}"/>
            </a:ext>
          </a:extLst>
        </xdr:cNvPr>
        <xdr:cNvSpPr>
          <a:spLocks noChangeArrowheads="1"/>
        </xdr:cNvSpPr>
      </xdr:nvSpPr>
      <xdr:spPr bwMode="auto">
        <a:xfrm>
          <a:off x="7105650" y="0"/>
          <a:ext cx="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0</xdr:row>
      <xdr:rowOff>0</xdr:rowOff>
    </xdr:from>
    <xdr:ext cx="0" cy="209550"/>
    <xdr:sp macro="" textlink="">
      <xdr:nvSpPr>
        <xdr:cNvPr id="51259" name="Rectangle 59">
          <a:extLst>
            <a:ext uri="{FF2B5EF4-FFF2-40B4-BE49-F238E27FC236}">
              <a16:creationId xmlns:a16="http://schemas.microsoft.com/office/drawing/2014/main" id="{778E17A7-6045-77AB-DF76-9FB39A7B2B9E}"/>
            </a:ext>
          </a:extLst>
        </xdr:cNvPr>
        <xdr:cNvSpPr>
          <a:spLocks noChangeArrowheads="1"/>
        </xdr:cNvSpPr>
      </xdr:nvSpPr>
      <xdr:spPr bwMode="auto">
        <a:xfrm>
          <a:off x="6353175" y="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12</xdr:col>
      <xdr:colOff>95250</xdr:colOff>
      <xdr:row>0</xdr:row>
      <xdr:rowOff>0</xdr:rowOff>
    </xdr:from>
    <xdr:to>
      <xdr:col>12</xdr:col>
      <xdr:colOff>190500</xdr:colOff>
      <xdr:row>0</xdr:row>
      <xdr:rowOff>0</xdr:rowOff>
    </xdr:to>
    <xdr:sp macro="" textlink="">
      <xdr:nvSpPr>
        <xdr:cNvPr id="51260" name="Line 60">
          <a:extLst>
            <a:ext uri="{FF2B5EF4-FFF2-40B4-BE49-F238E27FC236}">
              <a16:creationId xmlns:a16="http://schemas.microsoft.com/office/drawing/2014/main" id="{3905DA32-FDFC-65B9-E261-5F53A9C16997}"/>
            </a:ext>
          </a:extLst>
        </xdr:cNvPr>
        <xdr:cNvSpPr>
          <a:spLocks noChangeShapeType="1"/>
        </xdr:cNvSpPr>
      </xdr:nvSpPr>
      <xdr:spPr bwMode="auto">
        <a:xfrm>
          <a:off x="5162550" y="0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95250</xdr:colOff>
      <xdr:row>0</xdr:row>
      <xdr:rowOff>0</xdr:rowOff>
    </xdr:from>
    <xdr:to>
      <xdr:col>6</xdr:col>
      <xdr:colOff>190500</xdr:colOff>
      <xdr:row>0</xdr:row>
      <xdr:rowOff>0</xdr:rowOff>
    </xdr:to>
    <xdr:sp macro="" textlink="">
      <xdr:nvSpPr>
        <xdr:cNvPr id="51261" name="Line 61">
          <a:extLst>
            <a:ext uri="{FF2B5EF4-FFF2-40B4-BE49-F238E27FC236}">
              <a16:creationId xmlns:a16="http://schemas.microsoft.com/office/drawing/2014/main" id="{E7458A24-C903-CE2C-AEE4-8388983BBDE5}"/>
            </a:ext>
          </a:extLst>
        </xdr:cNvPr>
        <xdr:cNvSpPr>
          <a:spLocks noChangeShapeType="1"/>
        </xdr:cNvSpPr>
      </xdr:nvSpPr>
      <xdr:spPr bwMode="auto">
        <a:xfrm>
          <a:off x="2647950" y="0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361950</xdr:colOff>
      <xdr:row>0</xdr:row>
      <xdr:rowOff>0</xdr:rowOff>
    </xdr:from>
    <xdr:to>
      <xdr:col>2</xdr:col>
      <xdr:colOff>419100</xdr:colOff>
      <xdr:row>0</xdr:row>
      <xdr:rowOff>0</xdr:rowOff>
    </xdr:to>
    <xdr:sp macro="" textlink="">
      <xdr:nvSpPr>
        <xdr:cNvPr id="51265" name="Line 65">
          <a:extLst>
            <a:ext uri="{FF2B5EF4-FFF2-40B4-BE49-F238E27FC236}">
              <a16:creationId xmlns:a16="http://schemas.microsoft.com/office/drawing/2014/main" id="{F0C4C3FD-7E3A-4DEE-184D-B07C33C680A6}"/>
            </a:ext>
          </a:extLst>
        </xdr:cNvPr>
        <xdr:cNvSpPr>
          <a:spLocks noChangeShapeType="1"/>
        </xdr:cNvSpPr>
      </xdr:nvSpPr>
      <xdr:spPr bwMode="auto">
        <a:xfrm>
          <a:off x="1190625" y="0"/>
          <a:ext cx="57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428625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51266" name="Line 66">
          <a:extLst>
            <a:ext uri="{FF2B5EF4-FFF2-40B4-BE49-F238E27FC236}">
              <a16:creationId xmlns:a16="http://schemas.microsoft.com/office/drawing/2014/main" id="{4375710B-87B2-F600-51F0-85B1A518D2BA}"/>
            </a:ext>
          </a:extLst>
        </xdr:cNvPr>
        <xdr:cNvSpPr>
          <a:spLocks noChangeShapeType="1"/>
        </xdr:cNvSpPr>
      </xdr:nvSpPr>
      <xdr:spPr bwMode="auto">
        <a:xfrm flipV="1">
          <a:off x="1257300" y="0"/>
          <a:ext cx="38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514350</xdr:colOff>
      <xdr:row>0</xdr:row>
      <xdr:rowOff>0</xdr:rowOff>
    </xdr:from>
    <xdr:to>
      <xdr:col>4</xdr:col>
      <xdr:colOff>466725</xdr:colOff>
      <xdr:row>0</xdr:row>
      <xdr:rowOff>0</xdr:rowOff>
    </xdr:to>
    <xdr:sp macro="" textlink="">
      <xdr:nvSpPr>
        <xdr:cNvPr id="51267" name="Line 67">
          <a:extLst>
            <a:ext uri="{FF2B5EF4-FFF2-40B4-BE49-F238E27FC236}">
              <a16:creationId xmlns:a16="http://schemas.microsoft.com/office/drawing/2014/main" id="{4D011ACC-E66B-A2D1-02BE-5A1C2E10009A}"/>
            </a:ext>
          </a:extLst>
        </xdr:cNvPr>
        <xdr:cNvSpPr>
          <a:spLocks noChangeShapeType="1"/>
        </xdr:cNvSpPr>
      </xdr:nvSpPr>
      <xdr:spPr bwMode="auto">
        <a:xfrm flipV="1">
          <a:off x="1295400" y="0"/>
          <a:ext cx="838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114300</xdr:colOff>
      <xdr:row>0</xdr:row>
      <xdr:rowOff>0</xdr:rowOff>
    </xdr:from>
    <xdr:to>
      <xdr:col>13</xdr:col>
      <xdr:colOff>180975</xdr:colOff>
      <xdr:row>0</xdr:row>
      <xdr:rowOff>0</xdr:rowOff>
    </xdr:to>
    <xdr:sp macro="" textlink="">
      <xdr:nvSpPr>
        <xdr:cNvPr id="51281" name="Line 81">
          <a:extLst>
            <a:ext uri="{FF2B5EF4-FFF2-40B4-BE49-F238E27FC236}">
              <a16:creationId xmlns:a16="http://schemas.microsoft.com/office/drawing/2014/main" id="{8E1FA76A-D4AE-A632-8AD9-698982D6FF43}"/>
            </a:ext>
          </a:extLst>
        </xdr:cNvPr>
        <xdr:cNvSpPr>
          <a:spLocks noChangeShapeType="1"/>
        </xdr:cNvSpPr>
      </xdr:nvSpPr>
      <xdr:spPr bwMode="auto">
        <a:xfrm>
          <a:off x="5534025" y="0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190500</xdr:colOff>
      <xdr:row>0</xdr:row>
      <xdr:rowOff>0</xdr:rowOff>
    </xdr:from>
    <xdr:to>
      <xdr:col>13</xdr:col>
      <xdr:colOff>285750</xdr:colOff>
      <xdr:row>0</xdr:row>
      <xdr:rowOff>0</xdr:rowOff>
    </xdr:to>
    <xdr:sp macro="" textlink="">
      <xdr:nvSpPr>
        <xdr:cNvPr id="51282" name="Line 82">
          <a:extLst>
            <a:ext uri="{FF2B5EF4-FFF2-40B4-BE49-F238E27FC236}">
              <a16:creationId xmlns:a16="http://schemas.microsoft.com/office/drawing/2014/main" id="{C631F07C-F054-01C9-58C4-B4255B4D7872}"/>
            </a:ext>
          </a:extLst>
        </xdr:cNvPr>
        <xdr:cNvSpPr>
          <a:spLocks noChangeShapeType="1"/>
        </xdr:cNvSpPr>
      </xdr:nvSpPr>
      <xdr:spPr bwMode="auto">
        <a:xfrm flipV="1">
          <a:off x="5610225" y="0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276225</xdr:colOff>
      <xdr:row>0</xdr:row>
      <xdr:rowOff>0</xdr:rowOff>
    </xdr:from>
    <xdr:to>
      <xdr:col>16</xdr:col>
      <xdr:colOff>409575</xdr:colOff>
      <xdr:row>0</xdr:row>
      <xdr:rowOff>0</xdr:rowOff>
    </xdr:to>
    <xdr:sp macro="" textlink="">
      <xdr:nvSpPr>
        <xdr:cNvPr id="51283" name="Line 83">
          <a:extLst>
            <a:ext uri="{FF2B5EF4-FFF2-40B4-BE49-F238E27FC236}">
              <a16:creationId xmlns:a16="http://schemas.microsoft.com/office/drawing/2014/main" id="{860E87DB-BF34-F28B-A4F5-1E3F5217ABE0}"/>
            </a:ext>
          </a:extLst>
        </xdr:cNvPr>
        <xdr:cNvSpPr>
          <a:spLocks noChangeShapeType="1"/>
        </xdr:cNvSpPr>
      </xdr:nvSpPr>
      <xdr:spPr bwMode="auto">
        <a:xfrm>
          <a:off x="5695950" y="0"/>
          <a:ext cx="1581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438150</xdr:colOff>
      <xdr:row>0</xdr:row>
      <xdr:rowOff>0</xdr:rowOff>
    </xdr:from>
    <xdr:to>
      <xdr:col>14</xdr:col>
      <xdr:colOff>485775</xdr:colOff>
      <xdr:row>0</xdr:row>
      <xdr:rowOff>0</xdr:rowOff>
    </xdr:to>
    <xdr:sp macro="" textlink="">
      <xdr:nvSpPr>
        <xdr:cNvPr id="51299" name="Line 99">
          <a:extLst>
            <a:ext uri="{FF2B5EF4-FFF2-40B4-BE49-F238E27FC236}">
              <a16:creationId xmlns:a16="http://schemas.microsoft.com/office/drawing/2014/main" id="{63F1A91F-42B5-B07B-450C-BA9F1F6ECAF2}"/>
            </a:ext>
          </a:extLst>
        </xdr:cNvPr>
        <xdr:cNvSpPr>
          <a:spLocks noChangeShapeType="1"/>
        </xdr:cNvSpPr>
      </xdr:nvSpPr>
      <xdr:spPr bwMode="auto">
        <a:xfrm>
          <a:off x="6276975" y="0"/>
          <a:ext cx="47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495300</xdr:colOff>
      <xdr:row>0</xdr:row>
      <xdr:rowOff>0</xdr:rowOff>
    </xdr:from>
    <xdr:to>
      <xdr:col>14</xdr:col>
      <xdr:colOff>514350</xdr:colOff>
      <xdr:row>0</xdr:row>
      <xdr:rowOff>0</xdr:rowOff>
    </xdr:to>
    <xdr:sp macro="" textlink="">
      <xdr:nvSpPr>
        <xdr:cNvPr id="51300" name="Line 100">
          <a:extLst>
            <a:ext uri="{FF2B5EF4-FFF2-40B4-BE49-F238E27FC236}">
              <a16:creationId xmlns:a16="http://schemas.microsoft.com/office/drawing/2014/main" id="{25463F23-C556-584D-9246-3145B8AEB892}"/>
            </a:ext>
          </a:extLst>
        </xdr:cNvPr>
        <xdr:cNvSpPr>
          <a:spLocks noChangeShapeType="1"/>
        </xdr:cNvSpPr>
      </xdr:nvSpPr>
      <xdr:spPr bwMode="auto">
        <a:xfrm flipV="1">
          <a:off x="6334125" y="0"/>
          <a:ext cx="1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85725</xdr:colOff>
      <xdr:row>30</xdr:row>
      <xdr:rowOff>66675</xdr:rowOff>
    </xdr:from>
    <xdr:to>
      <xdr:col>1</xdr:col>
      <xdr:colOff>161925</xdr:colOff>
      <xdr:row>30</xdr:row>
      <xdr:rowOff>66675</xdr:rowOff>
    </xdr:to>
    <xdr:sp macro="" textlink="">
      <xdr:nvSpPr>
        <xdr:cNvPr id="51329" name="Line 129">
          <a:extLst>
            <a:ext uri="{FF2B5EF4-FFF2-40B4-BE49-F238E27FC236}">
              <a16:creationId xmlns:a16="http://schemas.microsoft.com/office/drawing/2014/main" id="{6A8D5871-02E5-0FEE-F43F-8C2B7DE708A0}"/>
            </a:ext>
          </a:extLst>
        </xdr:cNvPr>
        <xdr:cNvSpPr>
          <a:spLocks noChangeShapeType="1"/>
        </xdr:cNvSpPr>
      </xdr:nvSpPr>
      <xdr:spPr bwMode="auto">
        <a:xfrm>
          <a:off x="590550" y="6248400"/>
          <a:ext cx="762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95250</xdr:colOff>
      <xdr:row>0</xdr:row>
      <xdr:rowOff>0</xdr:rowOff>
    </xdr:from>
    <xdr:to>
      <xdr:col>18</xdr:col>
      <xdr:colOff>190500</xdr:colOff>
      <xdr:row>0</xdr:row>
      <xdr:rowOff>0</xdr:rowOff>
    </xdr:to>
    <xdr:sp macro="" textlink="">
      <xdr:nvSpPr>
        <xdr:cNvPr id="52226" name="Line 2">
          <a:extLst>
            <a:ext uri="{FF2B5EF4-FFF2-40B4-BE49-F238E27FC236}">
              <a16:creationId xmlns:a16="http://schemas.microsoft.com/office/drawing/2014/main" id="{ADC5CD82-2DF8-069D-E0C0-1CF25BF9255E}"/>
            </a:ext>
          </a:extLst>
        </xdr:cNvPr>
        <xdr:cNvSpPr>
          <a:spLocks noChangeShapeType="1"/>
        </xdr:cNvSpPr>
      </xdr:nvSpPr>
      <xdr:spPr bwMode="auto">
        <a:xfrm>
          <a:off x="8620125" y="0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561975</xdr:colOff>
      <xdr:row>0</xdr:row>
      <xdr:rowOff>0</xdr:rowOff>
    </xdr:from>
    <xdr:to>
      <xdr:col>6</xdr:col>
      <xdr:colOff>419100</xdr:colOff>
      <xdr:row>0</xdr:row>
      <xdr:rowOff>0</xdr:rowOff>
    </xdr:to>
    <xdr:sp macro="" textlink="">
      <xdr:nvSpPr>
        <xdr:cNvPr id="52227" name="Line 3">
          <a:extLst>
            <a:ext uri="{FF2B5EF4-FFF2-40B4-BE49-F238E27FC236}">
              <a16:creationId xmlns:a16="http://schemas.microsoft.com/office/drawing/2014/main" id="{1B502CE9-B714-5FA8-1732-51E867A7253D}"/>
            </a:ext>
          </a:extLst>
        </xdr:cNvPr>
        <xdr:cNvSpPr>
          <a:spLocks noChangeShapeType="1"/>
        </xdr:cNvSpPr>
      </xdr:nvSpPr>
      <xdr:spPr bwMode="auto">
        <a:xfrm>
          <a:off x="2971800" y="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561975</xdr:colOff>
      <xdr:row>0</xdr:row>
      <xdr:rowOff>0</xdr:rowOff>
    </xdr:from>
    <xdr:to>
      <xdr:col>6</xdr:col>
      <xdr:colOff>419100</xdr:colOff>
      <xdr:row>0</xdr:row>
      <xdr:rowOff>0</xdr:rowOff>
    </xdr:to>
    <xdr:sp macro="" textlink="">
      <xdr:nvSpPr>
        <xdr:cNvPr id="52228" name="Line 4">
          <a:extLst>
            <a:ext uri="{FF2B5EF4-FFF2-40B4-BE49-F238E27FC236}">
              <a16:creationId xmlns:a16="http://schemas.microsoft.com/office/drawing/2014/main" id="{9D159A9D-5546-D90A-115B-B30DCC1F29DC}"/>
            </a:ext>
          </a:extLst>
        </xdr:cNvPr>
        <xdr:cNvSpPr>
          <a:spLocks noChangeShapeType="1"/>
        </xdr:cNvSpPr>
      </xdr:nvSpPr>
      <xdr:spPr bwMode="auto">
        <a:xfrm>
          <a:off x="2971800" y="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114300</xdr:colOff>
      <xdr:row>0</xdr:row>
      <xdr:rowOff>0</xdr:rowOff>
    </xdr:from>
    <xdr:to>
      <xdr:col>20</xdr:col>
      <xdr:colOff>209550</xdr:colOff>
      <xdr:row>0</xdr:row>
      <xdr:rowOff>0</xdr:rowOff>
    </xdr:to>
    <xdr:sp macro="" textlink="">
      <xdr:nvSpPr>
        <xdr:cNvPr id="52229" name="Line 5">
          <a:extLst>
            <a:ext uri="{FF2B5EF4-FFF2-40B4-BE49-F238E27FC236}">
              <a16:creationId xmlns:a16="http://schemas.microsoft.com/office/drawing/2014/main" id="{28E28121-650C-5914-99F9-BFAD3020399C}"/>
            </a:ext>
          </a:extLst>
        </xdr:cNvPr>
        <xdr:cNvSpPr>
          <a:spLocks noChangeShapeType="1"/>
        </xdr:cNvSpPr>
      </xdr:nvSpPr>
      <xdr:spPr bwMode="auto">
        <a:xfrm>
          <a:off x="9667875" y="0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14</xdr:col>
      <xdr:colOff>114300</xdr:colOff>
      <xdr:row>0</xdr:row>
      <xdr:rowOff>0</xdr:rowOff>
    </xdr:from>
    <xdr:ext cx="0" cy="190500"/>
    <xdr:sp macro="" textlink="">
      <xdr:nvSpPr>
        <xdr:cNvPr id="52230" name="Rectangle 6">
          <a:extLst>
            <a:ext uri="{FF2B5EF4-FFF2-40B4-BE49-F238E27FC236}">
              <a16:creationId xmlns:a16="http://schemas.microsoft.com/office/drawing/2014/main" id="{7E036C6F-33DF-D42A-5106-EA83FC138CFD}"/>
            </a:ext>
          </a:extLst>
        </xdr:cNvPr>
        <xdr:cNvSpPr>
          <a:spLocks noChangeArrowheads="1"/>
        </xdr:cNvSpPr>
      </xdr:nvSpPr>
      <xdr:spPr bwMode="auto">
        <a:xfrm>
          <a:off x="6048375" y="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0</xdr:row>
      <xdr:rowOff>0</xdr:rowOff>
    </xdr:from>
    <xdr:ext cx="0" cy="190500"/>
    <xdr:sp macro="" textlink="">
      <xdr:nvSpPr>
        <xdr:cNvPr id="52231" name="Rectangle 7">
          <a:extLst>
            <a:ext uri="{FF2B5EF4-FFF2-40B4-BE49-F238E27FC236}">
              <a16:creationId xmlns:a16="http://schemas.microsoft.com/office/drawing/2014/main" id="{54A67786-D9EF-02AB-D3D2-65D224F18EEB}"/>
            </a:ext>
          </a:extLst>
        </xdr:cNvPr>
        <xdr:cNvSpPr>
          <a:spLocks noChangeArrowheads="1"/>
        </xdr:cNvSpPr>
      </xdr:nvSpPr>
      <xdr:spPr bwMode="auto">
        <a:xfrm>
          <a:off x="6448425" y="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342900</xdr:colOff>
      <xdr:row>0</xdr:row>
      <xdr:rowOff>0</xdr:rowOff>
    </xdr:from>
    <xdr:ext cx="0" cy="190500"/>
    <xdr:sp macro="" textlink="">
      <xdr:nvSpPr>
        <xdr:cNvPr id="52232" name="Rectangle 8">
          <a:extLst>
            <a:ext uri="{FF2B5EF4-FFF2-40B4-BE49-F238E27FC236}">
              <a16:creationId xmlns:a16="http://schemas.microsoft.com/office/drawing/2014/main" id="{17BC0168-7955-444A-1E08-B782F5961C8B}"/>
            </a:ext>
          </a:extLst>
        </xdr:cNvPr>
        <xdr:cNvSpPr>
          <a:spLocks noChangeArrowheads="1"/>
        </xdr:cNvSpPr>
      </xdr:nvSpPr>
      <xdr:spPr bwMode="auto">
        <a:xfrm>
          <a:off x="6791325" y="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0</xdr:colOff>
      <xdr:row>0</xdr:row>
      <xdr:rowOff>0</xdr:rowOff>
    </xdr:from>
    <xdr:ext cx="0" cy="190500"/>
    <xdr:sp macro="" textlink="">
      <xdr:nvSpPr>
        <xdr:cNvPr id="52233" name="Rectangle 9">
          <a:extLst>
            <a:ext uri="{FF2B5EF4-FFF2-40B4-BE49-F238E27FC236}">
              <a16:creationId xmlns:a16="http://schemas.microsoft.com/office/drawing/2014/main" id="{1A02066B-CED7-13ED-1558-0478F2B13381}"/>
            </a:ext>
          </a:extLst>
        </xdr:cNvPr>
        <xdr:cNvSpPr>
          <a:spLocks noChangeArrowheads="1"/>
        </xdr:cNvSpPr>
      </xdr:nvSpPr>
      <xdr:spPr bwMode="auto">
        <a:xfrm>
          <a:off x="6962775" y="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400050</xdr:colOff>
      <xdr:row>0</xdr:row>
      <xdr:rowOff>0</xdr:rowOff>
    </xdr:from>
    <xdr:ext cx="0" cy="114300"/>
    <xdr:sp macro="" textlink="">
      <xdr:nvSpPr>
        <xdr:cNvPr id="52234" name="Rectangle 10">
          <a:extLst>
            <a:ext uri="{FF2B5EF4-FFF2-40B4-BE49-F238E27FC236}">
              <a16:creationId xmlns:a16="http://schemas.microsoft.com/office/drawing/2014/main" id="{E556090E-4DEA-E510-DB12-656B418567CC}"/>
            </a:ext>
          </a:extLst>
        </xdr:cNvPr>
        <xdr:cNvSpPr>
          <a:spLocks noChangeArrowheads="1"/>
        </xdr:cNvSpPr>
      </xdr:nvSpPr>
      <xdr:spPr bwMode="auto">
        <a:xfrm>
          <a:off x="5886450" y="0"/>
          <a:ext cx="0" cy="114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0</xdr:colOff>
      <xdr:row>0</xdr:row>
      <xdr:rowOff>0</xdr:rowOff>
    </xdr:from>
    <xdr:ext cx="0" cy="190500"/>
    <xdr:sp macro="" textlink="">
      <xdr:nvSpPr>
        <xdr:cNvPr id="52235" name="Rectangle 11">
          <a:extLst>
            <a:ext uri="{FF2B5EF4-FFF2-40B4-BE49-F238E27FC236}">
              <a16:creationId xmlns:a16="http://schemas.microsoft.com/office/drawing/2014/main" id="{771B0DA1-25F1-4F55-6C77-CCB72569CB0F}"/>
            </a:ext>
          </a:extLst>
        </xdr:cNvPr>
        <xdr:cNvSpPr>
          <a:spLocks noChangeArrowheads="1"/>
        </xdr:cNvSpPr>
      </xdr:nvSpPr>
      <xdr:spPr bwMode="auto">
        <a:xfrm>
          <a:off x="5934075" y="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266700</xdr:colOff>
      <xdr:row>0</xdr:row>
      <xdr:rowOff>0</xdr:rowOff>
    </xdr:from>
    <xdr:ext cx="0" cy="190500"/>
    <xdr:sp macro="" textlink="">
      <xdr:nvSpPr>
        <xdr:cNvPr id="52236" name="Rectangle 12">
          <a:extLst>
            <a:ext uri="{FF2B5EF4-FFF2-40B4-BE49-F238E27FC236}">
              <a16:creationId xmlns:a16="http://schemas.microsoft.com/office/drawing/2014/main" id="{1FBEE265-DF7F-A944-86CD-6B56F77C4CBD}"/>
            </a:ext>
          </a:extLst>
        </xdr:cNvPr>
        <xdr:cNvSpPr>
          <a:spLocks noChangeArrowheads="1"/>
        </xdr:cNvSpPr>
      </xdr:nvSpPr>
      <xdr:spPr bwMode="auto">
        <a:xfrm>
          <a:off x="6715125" y="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447675</xdr:colOff>
      <xdr:row>0</xdr:row>
      <xdr:rowOff>0</xdr:rowOff>
    </xdr:from>
    <xdr:ext cx="0" cy="190500"/>
    <xdr:sp macro="" textlink="">
      <xdr:nvSpPr>
        <xdr:cNvPr id="52237" name="Rectangle 13">
          <a:extLst>
            <a:ext uri="{FF2B5EF4-FFF2-40B4-BE49-F238E27FC236}">
              <a16:creationId xmlns:a16="http://schemas.microsoft.com/office/drawing/2014/main" id="{7A2F2A7C-E8E5-EEFF-ED8A-940106E51F55}"/>
            </a:ext>
          </a:extLst>
        </xdr:cNvPr>
        <xdr:cNvSpPr>
          <a:spLocks noChangeArrowheads="1"/>
        </xdr:cNvSpPr>
      </xdr:nvSpPr>
      <xdr:spPr bwMode="auto">
        <a:xfrm>
          <a:off x="6896100" y="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219075</xdr:colOff>
      <xdr:row>0</xdr:row>
      <xdr:rowOff>0</xdr:rowOff>
    </xdr:from>
    <xdr:ext cx="0" cy="114300"/>
    <xdr:sp macro="" textlink="">
      <xdr:nvSpPr>
        <xdr:cNvPr id="52238" name="Rectangle 14">
          <a:extLst>
            <a:ext uri="{FF2B5EF4-FFF2-40B4-BE49-F238E27FC236}">
              <a16:creationId xmlns:a16="http://schemas.microsoft.com/office/drawing/2014/main" id="{07B8AB22-8C06-62E0-7D1E-688368CBCDE6}"/>
            </a:ext>
          </a:extLst>
        </xdr:cNvPr>
        <xdr:cNvSpPr>
          <a:spLocks noChangeArrowheads="1"/>
        </xdr:cNvSpPr>
      </xdr:nvSpPr>
      <xdr:spPr bwMode="auto">
        <a:xfrm>
          <a:off x="6153150" y="0"/>
          <a:ext cx="0" cy="114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180975</xdr:colOff>
      <xdr:row>0</xdr:row>
      <xdr:rowOff>0</xdr:rowOff>
    </xdr:from>
    <xdr:ext cx="0" cy="114300"/>
    <xdr:sp macro="" textlink="">
      <xdr:nvSpPr>
        <xdr:cNvPr id="52239" name="Rectangle 15">
          <a:extLst>
            <a:ext uri="{FF2B5EF4-FFF2-40B4-BE49-F238E27FC236}">
              <a16:creationId xmlns:a16="http://schemas.microsoft.com/office/drawing/2014/main" id="{740866C3-E308-1312-C0A0-D6CC8E46F3DA}"/>
            </a:ext>
          </a:extLst>
        </xdr:cNvPr>
        <xdr:cNvSpPr>
          <a:spLocks noChangeArrowheads="1"/>
        </xdr:cNvSpPr>
      </xdr:nvSpPr>
      <xdr:spPr bwMode="auto">
        <a:xfrm>
          <a:off x="6629400" y="0"/>
          <a:ext cx="0" cy="114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219075</xdr:colOff>
      <xdr:row>0</xdr:row>
      <xdr:rowOff>0</xdr:rowOff>
    </xdr:from>
    <xdr:ext cx="0" cy="371475"/>
    <xdr:sp macro="" textlink="">
      <xdr:nvSpPr>
        <xdr:cNvPr id="52240" name="Rectangle 16">
          <a:extLst>
            <a:ext uri="{FF2B5EF4-FFF2-40B4-BE49-F238E27FC236}">
              <a16:creationId xmlns:a16="http://schemas.microsoft.com/office/drawing/2014/main" id="{4A6BF6EF-0DC8-083A-7971-34DE88CE683D}"/>
            </a:ext>
          </a:extLst>
        </xdr:cNvPr>
        <xdr:cNvSpPr>
          <a:spLocks noChangeArrowheads="1"/>
        </xdr:cNvSpPr>
      </xdr:nvSpPr>
      <xdr:spPr bwMode="auto">
        <a:xfrm>
          <a:off x="5705475" y="0"/>
          <a:ext cx="0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295275</xdr:colOff>
      <xdr:row>0</xdr:row>
      <xdr:rowOff>0</xdr:rowOff>
    </xdr:from>
    <xdr:ext cx="0" cy="371475"/>
    <xdr:sp macro="" textlink="">
      <xdr:nvSpPr>
        <xdr:cNvPr id="52241" name="Rectangle 17">
          <a:extLst>
            <a:ext uri="{FF2B5EF4-FFF2-40B4-BE49-F238E27FC236}">
              <a16:creationId xmlns:a16="http://schemas.microsoft.com/office/drawing/2014/main" id="{8394C1EB-95AF-DC2F-84EC-F336C91D915E}"/>
            </a:ext>
          </a:extLst>
        </xdr:cNvPr>
        <xdr:cNvSpPr>
          <a:spLocks noChangeArrowheads="1"/>
        </xdr:cNvSpPr>
      </xdr:nvSpPr>
      <xdr:spPr bwMode="auto">
        <a:xfrm>
          <a:off x="6229350" y="0"/>
          <a:ext cx="0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476250</xdr:colOff>
      <xdr:row>0</xdr:row>
      <xdr:rowOff>0</xdr:rowOff>
    </xdr:from>
    <xdr:ext cx="0" cy="371475"/>
    <xdr:sp macro="" textlink="">
      <xdr:nvSpPr>
        <xdr:cNvPr id="52242" name="Rectangle 18">
          <a:extLst>
            <a:ext uri="{FF2B5EF4-FFF2-40B4-BE49-F238E27FC236}">
              <a16:creationId xmlns:a16="http://schemas.microsoft.com/office/drawing/2014/main" id="{DAFCCAE3-5A06-AC82-43A7-027017E6986B}"/>
            </a:ext>
          </a:extLst>
        </xdr:cNvPr>
        <xdr:cNvSpPr>
          <a:spLocks noChangeArrowheads="1"/>
        </xdr:cNvSpPr>
      </xdr:nvSpPr>
      <xdr:spPr bwMode="auto">
        <a:xfrm>
          <a:off x="6410325" y="0"/>
          <a:ext cx="0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28575</xdr:colOff>
      <xdr:row>0</xdr:row>
      <xdr:rowOff>0</xdr:rowOff>
    </xdr:from>
    <xdr:ext cx="0" cy="371475"/>
    <xdr:sp macro="" textlink="">
      <xdr:nvSpPr>
        <xdr:cNvPr id="52243" name="Rectangle 19">
          <a:extLst>
            <a:ext uri="{FF2B5EF4-FFF2-40B4-BE49-F238E27FC236}">
              <a16:creationId xmlns:a16="http://schemas.microsoft.com/office/drawing/2014/main" id="{DEB4E49C-A523-0859-9A40-AF10D5245E46}"/>
            </a:ext>
          </a:extLst>
        </xdr:cNvPr>
        <xdr:cNvSpPr>
          <a:spLocks noChangeArrowheads="1"/>
        </xdr:cNvSpPr>
      </xdr:nvSpPr>
      <xdr:spPr bwMode="auto">
        <a:xfrm>
          <a:off x="6991350" y="0"/>
          <a:ext cx="0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371475</xdr:colOff>
      <xdr:row>0</xdr:row>
      <xdr:rowOff>0</xdr:rowOff>
    </xdr:from>
    <xdr:ext cx="0" cy="190500"/>
    <xdr:sp macro="" textlink="">
      <xdr:nvSpPr>
        <xdr:cNvPr id="52244" name="Rectangle 20">
          <a:extLst>
            <a:ext uri="{FF2B5EF4-FFF2-40B4-BE49-F238E27FC236}">
              <a16:creationId xmlns:a16="http://schemas.microsoft.com/office/drawing/2014/main" id="{8402450F-3ABF-941E-8712-2AECEC340921}"/>
            </a:ext>
          </a:extLst>
        </xdr:cNvPr>
        <xdr:cNvSpPr>
          <a:spLocks noChangeArrowheads="1"/>
        </xdr:cNvSpPr>
      </xdr:nvSpPr>
      <xdr:spPr bwMode="auto">
        <a:xfrm>
          <a:off x="6305550" y="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190500</xdr:colOff>
      <xdr:row>0</xdr:row>
      <xdr:rowOff>0</xdr:rowOff>
    </xdr:from>
    <xdr:ext cx="0" cy="190500"/>
    <xdr:sp macro="" textlink="">
      <xdr:nvSpPr>
        <xdr:cNvPr id="52245" name="Rectangle 21">
          <a:extLst>
            <a:ext uri="{FF2B5EF4-FFF2-40B4-BE49-F238E27FC236}">
              <a16:creationId xmlns:a16="http://schemas.microsoft.com/office/drawing/2014/main" id="{6258D36E-DF49-3FF6-32CC-8FA60B16A9FB}"/>
            </a:ext>
          </a:extLst>
        </xdr:cNvPr>
        <xdr:cNvSpPr>
          <a:spLocks noChangeArrowheads="1"/>
        </xdr:cNvSpPr>
      </xdr:nvSpPr>
      <xdr:spPr bwMode="auto">
        <a:xfrm>
          <a:off x="6124575" y="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76200</xdr:colOff>
      <xdr:row>0</xdr:row>
      <xdr:rowOff>0</xdr:rowOff>
    </xdr:from>
    <xdr:ext cx="0" cy="190500"/>
    <xdr:sp macro="" textlink="">
      <xdr:nvSpPr>
        <xdr:cNvPr id="52246" name="Rectangle 22">
          <a:extLst>
            <a:ext uri="{FF2B5EF4-FFF2-40B4-BE49-F238E27FC236}">
              <a16:creationId xmlns:a16="http://schemas.microsoft.com/office/drawing/2014/main" id="{96EF02F8-364F-EAAF-BE4D-DF33328C037B}"/>
            </a:ext>
          </a:extLst>
        </xdr:cNvPr>
        <xdr:cNvSpPr>
          <a:spLocks noChangeArrowheads="1"/>
        </xdr:cNvSpPr>
      </xdr:nvSpPr>
      <xdr:spPr bwMode="auto">
        <a:xfrm>
          <a:off x="6524625" y="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400050</xdr:colOff>
      <xdr:row>0</xdr:row>
      <xdr:rowOff>0</xdr:rowOff>
    </xdr:from>
    <xdr:ext cx="0" cy="104775"/>
    <xdr:sp macro="" textlink="">
      <xdr:nvSpPr>
        <xdr:cNvPr id="52247" name="Rectangle 23">
          <a:extLst>
            <a:ext uri="{FF2B5EF4-FFF2-40B4-BE49-F238E27FC236}">
              <a16:creationId xmlns:a16="http://schemas.microsoft.com/office/drawing/2014/main" id="{EA916142-18E4-3BB9-6F93-04E66118A68D}"/>
            </a:ext>
          </a:extLst>
        </xdr:cNvPr>
        <xdr:cNvSpPr>
          <a:spLocks noChangeArrowheads="1"/>
        </xdr:cNvSpPr>
      </xdr:nvSpPr>
      <xdr:spPr bwMode="auto">
        <a:xfrm>
          <a:off x="6334125" y="0"/>
          <a:ext cx="0" cy="104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266700</xdr:colOff>
      <xdr:row>0</xdr:row>
      <xdr:rowOff>0</xdr:rowOff>
    </xdr:from>
    <xdr:ext cx="0" cy="104775"/>
    <xdr:sp macro="" textlink="">
      <xdr:nvSpPr>
        <xdr:cNvPr id="52248" name="Rectangle 24">
          <a:extLst>
            <a:ext uri="{FF2B5EF4-FFF2-40B4-BE49-F238E27FC236}">
              <a16:creationId xmlns:a16="http://schemas.microsoft.com/office/drawing/2014/main" id="{FA7234D1-EA74-09F2-8013-C3BDA9088EC9}"/>
            </a:ext>
          </a:extLst>
        </xdr:cNvPr>
        <xdr:cNvSpPr>
          <a:spLocks noChangeArrowheads="1"/>
        </xdr:cNvSpPr>
      </xdr:nvSpPr>
      <xdr:spPr bwMode="auto">
        <a:xfrm>
          <a:off x="6715125" y="0"/>
          <a:ext cx="0" cy="104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495300</xdr:colOff>
      <xdr:row>0</xdr:row>
      <xdr:rowOff>0</xdr:rowOff>
    </xdr:from>
    <xdr:ext cx="0" cy="190500"/>
    <xdr:sp macro="" textlink="">
      <xdr:nvSpPr>
        <xdr:cNvPr id="52249" name="Rectangle 25">
          <a:extLst>
            <a:ext uri="{FF2B5EF4-FFF2-40B4-BE49-F238E27FC236}">
              <a16:creationId xmlns:a16="http://schemas.microsoft.com/office/drawing/2014/main" id="{2C9DBCC9-6CB0-6944-0536-2D2090891CB0}"/>
            </a:ext>
          </a:extLst>
        </xdr:cNvPr>
        <xdr:cNvSpPr>
          <a:spLocks noChangeArrowheads="1"/>
        </xdr:cNvSpPr>
      </xdr:nvSpPr>
      <xdr:spPr bwMode="auto">
        <a:xfrm>
          <a:off x="6429375" y="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114300</xdr:colOff>
      <xdr:row>0</xdr:row>
      <xdr:rowOff>0</xdr:rowOff>
    </xdr:from>
    <xdr:ext cx="0" cy="333375"/>
    <xdr:sp macro="" textlink="">
      <xdr:nvSpPr>
        <xdr:cNvPr id="52250" name="Rectangle 26">
          <a:extLst>
            <a:ext uri="{FF2B5EF4-FFF2-40B4-BE49-F238E27FC236}">
              <a16:creationId xmlns:a16="http://schemas.microsoft.com/office/drawing/2014/main" id="{95733DB4-6D57-0EE0-2EE2-AABEBCB37DDB}"/>
            </a:ext>
          </a:extLst>
        </xdr:cNvPr>
        <xdr:cNvSpPr>
          <a:spLocks noChangeArrowheads="1"/>
        </xdr:cNvSpPr>
      </xdr:nvSpPr>
      <xdr:spPr bwMode="auto">
        <a:xfrm>
          <a:off x="6048375" y="0"/>
          <a:ext cx="0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342900</xdr:colOff>
      <xdr:row>0</xdr:row>
      <xdr:rowOff>0</xdr:rowOff>
    </xdr:from>
    <xdr:ext cx="0" cy="333375"/>
    <xdr:sp macro="" textlink="">
      <xdr:nvSpPr>
        <xdr:cNvPr id="52251" name="Rectangle 27">
          <a:extLst>
            <a:ext uri="{FF2B5EF4-FFF2-40B4-BE49-F238E27FC236}">
              <a16:creationId xmlns:a16="http://schemas.microsoft.com/office/drawing/2014/main" id="{DA9D5140-4A6C-AE46-9231-47D9D755881A}"/>
            </a:ext>
          </a:extLst>
        </xdr:cNvPr>
        <xdr:cNvSpPr>
          <a:spLocks noChangeArrowheads="1"/>
        </xdr:cNvSpPr>
      </xdr:nvSpPr>
      <xdr:spPr bwMode="auto">
        <a:xfrm>
          <a:off x="6791325" y="0"/>
          <a:ext cx="0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180975</xdr:colOff>
      <xdr:row>0</xdr:row>
      <xdr:rowOff>0</xdr:rowOff>
    </xdr:from>
    <xdr:ext cx="0" cy="161925"/>
    <xdr:sp macro="" textlink="">
      <xdr:nvSpPr>
        <xdr:cNvPr id="52252" name="Rectangle 28">
          <a:extLst>
            <a:ext uri="{FF2B5EF4-FFF2-40B4-BE49-F238E27FC236}">
              <a16:creationId xmlns:a16="http://schemas.microsoft.com/office/drawing/2014/main" id="{CC5AE550-B853-1860-A63A-C7291F94B536}"/>
            </a:ext>
          </a:extLst>
        </xdr:cNvPr>
        <xdr:cNvSpPr>
          <a:spLocks noChangeArrowheads="1"/>
        </xdr:cNvSpPr>
      </xdr:nvSpPr>
      <xdr:spPr bwMode="auto">
        <a:xfrm>
          <a:off x="1476375" y="0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0</xdr:row>
      <xdr:rowOff>0</xdr:rowOff>
    </xdr:from>
    <xdr:ext cx="0" cy="161925"/>
    <xdr:sp macro="" textlink="">
      <xdr:nvSpPr>
        <xdr:cNvPr id="52253" name="Rectangle 29">
          <a:extLst>
            <a:ext uri="{FF2B5EF4-FFF2-40B4-BE49-F238E27FC236}">
              <a16:creationId xmlns:a16="http://schemas.microsoft.com/office/drawing/2014/main" id="{E8268305-0D3F-C392-A7E2-648FB4E8817D}"/>
            </a:ext>
          </a:extLst>
        </xdr:cNvPr>
        <xdr:cNvSpPr>
          <a:spLocks noChangeArrowheads="1"/>
        </xdr:cNvSpPr>
      </xdr:nvSpPr>
      <xdr:spPr bwMode="auto">
        <a:xfrm>
          <a:off x="1714500" y="0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180975</xdr:colOff>
      <xdr:row>0</xdr:row>
      <xdr:rowOff>0</xdr:rowOff>
    </xdr:from>
    <xdr:ext cx="0" cy="161925"/>
    <xdr:sp macro="" textlink="">
      <xdr:nvSpPr>
        <xdr:cNvPr id="52254" name="Rectangle 30">
          <a:extLst>
            <a:ext uri="{FF2B5EF4-FFF2-40B4-BE49-F238E27FC236}">
              <a16:creationId xmlns:a16="http://schemas.microsoft.com/office/drawing/2014/main" id="{3A952E0A-0530-26D4-927C-E5F4668BD411}"/>
            </a:ext>
          </a:extLst>
        </xdr:cNvPr>
        <xdr:cNvSpPr>
          <a:spLocks noChangeArrowheads="1"/>
        </xdr:cNvSpPr>
      </xdr:nvSpPr>
      <xdr:spPr bwMode="auto">
        <a:xfrm>
          <a:off x="1895475" y="0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295275</xdr:colOff>
      <xdr:row>0</xdr:row>
      <xdr:rowOff>0</xdr:rowOff>
    </xdr:from>
    <xdr:ext cx="64120" cy="147476"/>
    <xdr:sp macro="" textlink="">
      <xdr:nvSpPr>
        <xdr:cNvPr id="52255" name="Rectangle 31">
          <a:extLst>
            <a:ext uri="{FF2B5EF4-FFF2-40B4-BE49-F238E27FC236}">
              <a16:creationId xmlns:a16="http://schemas.microsoft.com/office/drawing/2014/main" id="{973BDC4E-DCBB-166E-9F4A-305B3D9D922D}"/>
            </a:ext>
          </a:extLst>
        </xdr:cNvPr>
        <xdr:cNvSpPr>
          <a:spLocks noChangeArrowheads="1"/>
        </xdr:cNvSpPr>
      </xdr:nvSpPr>
      <xdr:spPr bwMode="auto">
        <a:xfrm>
          <a:off x="1590675" y="0"/>
          <a:ext cx="64120" cy="1474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0" tIns="0" rIns="0" bIns="0" anchor="t">
          <a:spAutoFit/>
        </a:bodyPr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</a:t>
          </a:r>
        </a:p>
      </xdr:txBody>
    </xdr:sp>
    <xdr:clientData/>
  </xdr:oneCellAnchor>
  <xdr:twoCellAnchor editAs="oneCell">
    <xdr:from>
      <xdr:col>4</xdr:col>
      <xdr:colOff>390525</xdr:colOff>
      <xdr:row>0</xdr:row>
      <xdr:rowOff>0</xdr:rowOff>
    </xdr:from>
    <xdr:to>
      <xdr:col>5</xdr:col>
      <xdr:colOff>95250</xdr:colOff>
      <xdr:row>1</xdr:row>
      <xdr:rowOff>76200</xdr:rowOff>
    </xdr:to>
    <xdr:sp macro="" textlink="">
      <xdr:nvSpPr>
        <xdr:cNvPr id="52256" name="Rectangle 32">
          <a:extLst>
            <a:ext uri="{FF2B5EF4-FFF2-40B4-BE49-F238E27FC236}">
              <a16:creationId xmlns:a16="http://schemas.microsoft.com/office/drawing/2014/main" id="{99EB9179-7F29-9866-FF07-9D2D6564BFD9}"/>
            </a:ext>
          </a:extLst>
        </xdr:cNvPr>
        <xdr:cNvSpPr>
          <a:spLocks noChangeArrowheads="1"/>
        </xdr:cNvSpPr>
      </xdr:nvSpPr>
      <xdr:spPr bwMode="auto">
        <a:xfrm>
          <a:off x="2105025" y="0"/>
          <a:ext cx="12382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4</xdr:col>
      <xdr:colOff>76200</xdr:colOff>
      <xdr:row>0</xdr:row>
      <xdr:rowOff>0</xdr:rowOff>
    </xdr:from>
    <xdr:ext cx="0" cy="161925"/>
    <xdr:sp macro="" textlink="">
      <xdr:nvSpPr>
        <xdr:cNvPr id="52257" name="Rectangle 33">
          <a:extLst>
            <a:ext uri="{FF2B5EF4-FFF2-40B4-BE49-F238E27FC236}">
              <a16:creationId xmlns:a16="http://schemas.microsoft.com/office/drawing/2014/main" id="{60C50269-9502-F7B6-4927-15D353ED12A9}"/>
            </a:ext>
          </a:extLst>
        </xdr:cNvPr>
        <xdr:cNvSpPr>
          <a:spLocks noChangeArrowheads="1"/>
        </xdr:cNvSpPr>
      </xdr:nvSpPr>
      <xdr:spPr bwMode="auto">
        <a:xfrm>
          <a:off x="1790700" y="0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114300</xdr:colOff>
      <xdr:row>0</xdr:row>
      <xdr:rowOff>0</xdr:rowOff>
    </xdr:from>
    <xdr:ext cx="0" cy="323850"/>
    <xdr:sp macro="" textlink="">
      <xdr:nvSpPr>
        <xdr:cNvPr id="52258" name="Rectangle 34">
          <a:extLst>
            <a:ext uri="{FF2B5EF4-FFF2-40B4-BE49-F238E27FC236}">
              <a16:creationId xmlns:a16="http://schemas.microsoft.com/office/drawing/2014/main" id="{42F65375-8A4F-9F32-5F22-AF08ABBFD58D}"/>
            </a:ext>
          </a:extLst>
        </xdr:cNvPr>
        <xdr:cNvSpPr>
          <a:spLocks noChangeArrowheads="1"/>
        </xdr:cNvSpPr>
      </xdr:nvSpPr>
      <xdr:spPr bwMode="auto">
        <a:xfrm>
          <a:off x="1409700" y="0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0</xdr:colOff>
      <xdr:row>0</xdr:row>
      <xdr:rowOff>0</xdr:rowOff>
    </xdr:from>
    <xdr:ext cx="0" cy="323850"/>
    <xdr:sp macro="" textlink="">
      <xdr:nvSpPr>
        <xdr:cNvPr id="52259" name="Rectangle 35">
          <a:extLst>
            <a:ext uri="{FF2B5EF4-FFF2-40B4-BE49-F238E27FC236}">
              <a16:creationId xmlns:a16="http://schemas.microsoft.com/office/drawing/2014/main" id="{ED5A27DA-826C-75F4-08FC-C68DBA4EAF59}"/>
            </a:ext>
          </a:extLst>
        </xdr:cNvPr>
        <xdr:cNvSpPr>
          <a:spLocks noChangeArrowheads="1"/>
        </xdr:cNvSpPr>
      </xdr:nvSpPr>
      <xdr:spPr bwMode="auto">
        <a:xfrm>
          <a:off x="2133600" y="0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180975</xdr:colOff>
      <xdr:row>0</xdr:row>
      <xdr:rowOff>0</xdr:rowOff>
    </xdr:from>
    <xdr:ext cx="0" cy="190500"/>
    <xdr:sp macro="" textlink="">
      <xdr:nvSpPr>
        <xdr:cNvPr id="52260" name="Rectangle 36">
          <a:extLst>
            <a:ext uri="{FF2B5EF4-FFF2-40B4-BE49-F238E27FC236}">
              <a16:creationId xmlns:a16="http://schemas.microsoft.com/office/drawing/2014/main" id="{27972873-CED6-CBCF-B8C6-EE1C461AC63A}"/>
            </a:ext>
          </a:extLst>
        </xdr:cNvPr>
        <xdr:cNvSpPr>
          <a:spLocks noChangeArrowheads="1"/>
        </xdr:cNvSpPr>
      </xdr:nvSpPr>
      <xdr:spPr bwMode="auto">
        <a:xfrm>
          <a:off x="1476375" y="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409575</xdr:colOff>
      <xdr:row>0</xdr:row>
      <xdr:rowOff>0</xdr:rowOff>
    </xdr:from>
    <xdr:ext cx="0" cy="190500"/>
    <xdr:sp macro="" textlink="">
      <xdr:nvSpPr>
        <xdr:cNvPr id="52261" name="Rectangle 37">
          <a:extLst>
            <a:ext uri="{FF2B5EF4-FFF2-40B4-BE49-F238E27FC236}">
              <a16:creationId xmlns:a16="http://schemas.microsoft.com/office/drawing/2014/main" id="{27726409-E191-FB2E-87AA-1BD26075B860}"/>
            </a:ext>
          </a:extLst>
        </xdr:cNvPr>
        <xdr:cNvSpPr>
          <a:spLocks noChangeArrowheads="1"/>
        </xdr:cNvSpPr>
      </xdr:nvSpPr>
      <xdr:spPr bwMode="auto">
        <a:xfrm>
          <a:off x="1704975" y="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180975</xdr:colOff>
      <xdr:row>0</xdr:row>
      <xdr:rowOff>0</xdr:rowOff>
    </xdr:from>
    <xdr:ext cx="35266" cy="162160"/>
    <xdr:sp macro="" textlink="">
      <xdr:nvSpPr>
        <xdr:cNvPr id="52262" name="Rectangle 38">
          <a:extLst>
            <a:ext uri="{FF2B5EF4-FFF2-40B4-BE49-F238E27FC236}">
              <a16:creationId xmlns:a16="http://schemas.microsoft.com/office/drawing/2014/main" id="{952F15CB-874E-A6ED-74C5-B5AC80E194DC}"/>
            </a:ext>
          </a:extLst>
        </xdr:cNvPr>
        <xdr:cNvSpPr>
          <a:spLocks noChangeArrowheads="1"/>
        </xdr:cNvSpPr>
      </xdr:nvSpPr>
      <xdr:spPr bwMode="auto">
        <a:xfrm>
          <a:off x="1895475" y="0"/>
          <a:ext cx="35266" cy="1621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none" lIns="0" tIns="0" rIns="0" bIns="0" anchor="t">
          <a:spAutoFit/>
        </a:bodyPr>
        <a:lstStyle/>
        <a:p>
          <a:pPr algn="l" rtl="0">
            <a:defRPr sz="1000"/>
          </a:pPr>
          <a:r>
            <a:rPr lang="en-US" sz="11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</a:t>
          </a:r>
        </a:p>
      </xdr:txBody>
    </xdr:sp>
    <xdr:clientData/>
  </xdr:oneCellAnchor>
  <xdr:oneCellAnchor>
    <xdr:from>
      <xdr:col>3</xdr:col>
      <xdr:colOff>295275</xdr:colOff>
      <xdr:row>0</xdr:row>
      <xdr:rowOff>0</xdr:rowOff>
    </xdr:from>
    <xdr:ext cx="0" cy="190500"/>
    <xdr:sp macro="" textlink="">
      <xdr:nvSpPr>
        <xdr:cNvPr id="52263" name="Rectangle 39">
          <a:extLst>
            <a:ext uri="{FF2B5EF4-FFF2-40B4-BE49-F238E27FC236}">
              <a16:creationId xmlns:a16="http://schemas.microsoft.com/office/drawing/2014/main" id="{74C90FD5-F60B-4718-2CD8-7AEFE9B92063}"/>
            </a:ext>
          </a:extLst>
        </xdr:cNvPr>
        <xdr:cNvSpPr>
          <a:spLocks noChangeArrowheads="1"/>
        </xdr:cNvSpPr>
      </xdr:nvSpPr>
      <xdr:spPr bwMode="auto">
        <a:xfrm>
          <a:off x="1590675" y="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0</xdr:row>
      <xdr:rowOff>0</xdr:rowOff>
    </xdr:from>
    <xdr:ext cx="0" cy="104775"/>
    <xdr:sp macro="" textlink="">
      <xdr:nvSpPr>
        <xdr:cNvPr id="52264" name="Rectangle 40">
          <a:extLst>
            <a:ext uri="{FF2B5EF4-FFF2-40B4-BE49-F238E27FC236}">
              <a16:creationId xmlns:a16="http://schemas.microsoft.com/office/drawing/2014/main" id="{C13BBEAE-EE2D-1FFD-82F6-589D43C72172}"/>
            </a:ext>
          </a:extLst>
        </xdr:cNvPr>
        <xdr:cNvSpPr>
          <a:spLocks noChangeArrowheads="1"/>
        </xdr:cNvSpPr>
      </xdr:nvSpPr>
      <xdr:spPr bwMode="auto">
        <a:xfrm>
          <a:off x="1714500" y="0"/>
          <a:ext cx="0" cy="104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400050</xdr:colOff>
      <xdr:row>0</xdr:row>
      <xdr:rowOff>0</xdr:rowOff>
    </xdr:from>
    <xdr:ext cx="0" cy="104775"/>
    <xdr:sp macro="" textlink="">
      <xdr:nvSpPr>
        <xdr:cNvPr id="52265" name="Rectangle 41">
          <a:extLst>
            <a:ext uri="{FF2B5EF4-FFF2-40B4-BE49-F238E27FC236}">
              <a16:creationId xmlns:a16="http://schemas.microsoft.com/office/drawing/2014/main" id="{FE5EA3D8-AFF3-FAA2-DC76-7989D4431892}"/>
            </a:ext>
          </a:extLst>
        </xdr:cNvPr>
        <xdr:cNvSpPr>
          <a:spLocks noChangeArrowheads="1"/>
        </xdr:cNvSpPr>
      </xdr:nvSpPr>
      <xdr:spPr bwMode="auto">
        <a:xfrm>
          <a:off x="2114550" y="0"/>
          <a:ext cx="0" cy="104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76200</xdr:colOff>
      <xdr:row>0</xdr:row>
      <xdr:rowOff>0</xdr:rowOff>
    </xdr:from>
    <xdr:ext cx="0" cy="190500"/>
    <xdr:sp macro="" textlink="">
      <xdr:nvSpPr>
        <xdr:cNvPr id="52266" name="Rectangle 42">
          <a:extLst>
            <a:ext uri="{FF2B5EF4-FFF2-40B4-BE49-F238E27FC236}">
              <a16:creationId xmlns:a16="http://schemas.microsoft.com/office/drawing/2014/main" id="{77783E91-D4E6-04A9-3DF4-551E89BE2C4E}"/>
            </a:ext>
          </a:extLst>
        </xdr:cNvPr>
        <xdr:cNvSpPr>
          <a:spLocks noChangeArrowheads="1"/>
        </xdr:cNvSpPr>
      </xdr:nvSpPr>
      <xdr:spPr bwMode="auto">
        <a:xfrm>
          <a:off x="1790700" y="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114300</xdr:colOff>
      <xdr:row>0</xdr:row>
      <xdr:rowOff>0</xdr:rowOff>
    </xdr:from>
    <xdr:ext cx="0" cy="342900"/>
    <xdr:sp macro="" textlink="">
      <xdr:nvSpPr>
        <xdr:cNvPr id="52267" name="Rectangle 43">
          <a:extLst>
            <a:ext uri="{FF2B5EF4-FFF2-40B4-BE49-F238E27FC236}">
              <a16:creationId xmlns:a16="http://schemas.microsoft.com/office/drawing/2014/main" id="{EC86A31B-6D78-FE62-F20A-9A1D14D8589C}"/>
            </a:ext>
          </a:extLst>
        </xdr:cNvPr>
        <xdr:cNvSpPr>
          <a:spLocks noChangeArrowheads="1"/>
        </xdr:cNvSpPr>
      </xdr:nvSpPr>
      <xdr:spPr bwMode="auto">
        <a:xfrm>
          <a:off x="1409700" y="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0</xdr:colOff>
      <xdr:row>0</xdr:row>
      <xdr:rowOff>0</xdr:rowOff>
    </xdr:from>
    <xdr:ext cx="0" cy="342900"/>
    <xdr:sp macro="" textlink="">
      <xdr:nvSpPr>
        <xdr:cNvPr id="52268" name="Rectangle 44">
          <a:extLst>
            <a:ext uri="{FF2B5EF4-FFF2-40B4-BE49-F238E27FC236}">
              <a16:creationId xmlns:a16="http://schemas.microsoft.com/office/drawing/2014/main" id="{10A94065-D5D5-20F1-A2CA-C9E2F78C8DE4}"/>
            </a:ext>
          </a:extLst>
        </xdr:cNvPr>
        <xdr:cNvSpPr>
          <a:spLocks noChangeArrowheads="1"/>
        </xdr:cNvSpPr>
      </xdr:nvSpPr>
      <xdr:spPr bwMode="auto">
        <a:xfrm>
          <a:off x="2133600" y="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400050</xdr:colOff>
      <xdr:row>0</xdr:row>
      <xdr:rowOff>0</xdr:rowOff>
    </xdr:from>
    <xdr:ext cx="0" cy="209550"/>
    <xdr:sp macro="" textlink="">
      <xdr:nvSpPr>
        <xdr:cNvPr id="52269" name="Rectangle 45">
          <a:extLst>
            <a:ext uri="{FF2B5EF4-FFF2-40B4-BE49-F238E27FC236}">
              <a16:creationId xmlns:a16="http://schemas.microsoft.com/office/drawing/2014/main" id="{21A69A33-340F-B342-A3F9-76C2CFED6A6F}"/>
            </a:ext>
          </a:extLst>
        </xdr:cNvPr>
        <xdr:cNvSpPr>
          <a:spLocks noChangeArrowheads="1"/>
        </xdr:cNvSpPr>
      </xdr:nvSpPr>
      <xdr:spPr bwMode="auto">
        <a:xfrm>
          <a:off x="5886450" y="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238125</xdr:colOff>
      <xdr:row>0</xdr:row>
      <xdr:rowOff>0</xdr:rowOff>
    </xdr:from>
    <xdr:ext cx="0" cy="209550"/>
    <xdr:sp macro="" textlink="">
      <xdr:nvSpPr>
        <xdr:cNvPr id="52270" name="Rectangle 46">
          <a:extLst>
            <a:ext uri="{FF2B5EF4-FFF2-40B4-BE49-F238E27FC236}">
              <a16:creationId xmlns:a16="http://schemas.microsoft.com/office/drawing/2014/main" id="{7580564E-B55A-7BBD-F0E8-DA91FFC96206}"/>
            </a:ext>
          </a:extLst>
        </xdr:cNvPr>
        <xdr:cNvSpPr>
          <a:spLocks noChangeArrowheads="1"/>
        </xdr:cNvSpPr>
      </xdr:nvSpPr>
      <xdr:spPr bwMode="auto">
        <a:xfrm>
          <a:off x="6172200" y="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161925</xdr:colOff>
      <xdr:row>0</xdr:row>
      <xdr:rowOff>0</xdr:rowOff>
    </xdr:from>
    <xdr:ext cx="0" cy="209550"/>
    <xdr:sp macro="" textlink="">
      <xdr:nvSpPr>
        <xdr:cNvPr id="52271" name="Rectangle 47">
          <a:extLst>
            <a:ext uri="{FF2B5EF4-FFF2-40B4-BE49-F238E27FC236}">
              <a16:creationId xmlns:a16="http://schemas.microsoft.com/office/drawing/2014/main" id="{45013528-E02A-ABB7-DC91-EE2D2A8EF6DC}"/>
            </a:ext>
          </a:extLst>
        </xdr:cNvPr>
        <xdr:cNvSpPr>
          <a:spLocks noChangeArrowheads="1"/>
        </xdr:cNvSpPr>
      </xdr:nvSpPr>
      <xdr:spPr bwMode="auto">
        <a:xfrm>
          <a:off x="6610350" y="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0</xdr:colOff>
      <xdr:row>0</xdr:row>
      <xdr:rowOff>0</xdr:rowOff>
    </xdr:from>
    <xdr:ext cx="0" cy="209550"/>
    <xdr:sp macro="" textlink="">
      <xdr:nvSpPr>
        <xdr:cNvPr id="52272" name="Rectangle 48">
          <a:extLst>
            <a:ext uri="{FF2B5EF4-FFF2-40B4-BE49-F238E27FC236}">
              <a16:creationId xmlns:a16="http://schemas.microsoft.com/office/drawing/2014/main" id="{4E8B5FE9-8DD5-A33E-897B-8CE02A0EA0A6}"/>
            </a:ext>
          </a:extLst>
        </xdr:cNvPr>
        <xdr:cNvSpPr>
          <a:spLocks noChangeArrowheads="1"/>
        </xdr:cNvSpPr>
      </xdr:nvSpPr>
      <xdr:spPr bwMode="auto">
        <a:xfrm>
          <a:off x="6962775" y="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180975</xdr:colOff>
      <xdr:row>0</xdr:row>
      <xdr:rowOff>0</xdr:rowOff>
    </xdr:from>
    <xdr:ext cx="0" cy="209550"/>
    <xdr:sp macro="" textlink="">
      <xdr:nvSpPr>
        <xdr:cNvPr id="52273" name="Rectangle 49">
          <a:extLst>
            <a:ext uri="{FF2B5EF4-FFF2-40B4-BE49-F238E27FC236}">
              <a16:creationId xmlns:a16="http://schemas.microsoft.com/office/drawing/2014/main" id="{8EF71F17-C9B9-D721-58BF-0E664BEB3BBA}"/>
            </a:ext>
          </a:extLst>
        </xdr:cNvPr>
        <xdr:cNvSpPr>
          <a:spLocks noChangeArrowheads="1"/>
        </xdr:cNvSpPr>
      </xdr:nvSpPr>
      <xdr:spPr bwMode="auto">
        <a:xfrm>
          <a:off x="7143750" y="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114300</xdr:colOff>
      <xdr:row>0</xdr:row>
      <xdr:rowOff>0</xdr:rowOff>
    </xdr:from>
    <xdr:ext cx="0" cy="209550"/>
    <xdr:sp macro="" textlink="">
      <xdr:nvSpPr>
        <xdr:cNvPr id="52274" name="Rectangle 50">
          <a:extLst>
            <a:ext uri="{FF2B5EF4-FFF2-40B4-BE49-F238E27FC236}">
              <a16:creationId xmlns:a16="http://schemas.microsoft.com/office/drawing/2014/main" id="{6165D2CF-F00C-7970-9412-F78664695943}"/>
            </a:ext>
          </a:extLst>
        </xdr:cNvPr>
        <xdr:cNvSpPr>
          <a:spLocks noChangeArrowheads="1"/>
        </xdr:cNvSpPr>
      </xdr:nvSpPr>
      <xdr:spPr bwMode="auto">
        <a:xfrm>
          <a:off x="6048375" y="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495300</xdr:colOff>
      <xdr:row>0</xdr:row>
      <xdr:rowOff>0</xdr:rowOff>
    </xdr:from>
    <xdr:ext cx="0" cy="209550"/>
    <xdr:sp macro="" textlink="">
      <xdr:nvSpPr>
        <xdr:cNvPr id="52275" name="Rectangle 51">
          <a:extLst>
            <a:ext uri="{FF2B5EF4-FFF2-40B4-BE49-F238E27FC236}">
              <a16:creationId xmlns:a16="http://schemas.microsoft.com/office/drawing/2014/main" id="{44C57398-95B2-854E-2608-02C68C289339}"/>
            </a:ext>
          </a:extLst>
        </xdr:cNvPr>
        <xdr:cNvSpPr>
          <a:spLocks noChangeArrowheads="1"/>
        </xdr:cNvSpPr>
      </xdr:nvSpPr>
      <xdr:spPr bwMode="auto">
        <a:xfrm>
          <a:off x="6943725" y="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76200</xdr:colOff>
      <xdr:row>0</xdr:row>
      <xdr:rowOff>0</xdr:rowOff>
    </xdr:from>
    <xdr:ext cx="0" cy="209550"/>
    <xdr:sp macro="" textlink="">
      <xdr:nvSpPr>
        <xdr:cNvPr id="52276" name="Rectangle 52">
          <a:extLst>
            <a:ext uri="{FF2B5EF4-FFF2-40B4-BE49-F238E27FC236}">
              <a16:creationId xmlns:a16="http://schemas.microsoft.com/office/drawing/2014/main" id="{4203E9C2-EA39-E5E3-0383-E6BFD4D6001B}"/>
            </a:ext>
          </a:extLst>
        </xdr:cNvPr>
        <xdr:cNvSpPr>
          <a:spLocks noChangeArrowheads="1"/>
        </xdr:cNvSpPr>
      </xdr:nvSpPr>
      <xdr:spPr bwMode="auto">
        <a:xfrm>
          <a:off x="7038975" y="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342900</xdr:colOff>
      <xdr:row>0</xdr:row>
      <xdr:rowOff>0</xdr:rowOff>
    </xdr:from>
    <xdr:ext cx="0" cy="142875"/>
    <xdr:sp macro="" textlink="">
      <xdr:nvSpPr>
        <xdr:cNvPr id="52277" name="Rectangle 53">
          <a:extLst>
            <a:ext uri="{FF2B5EF4-FFF2-40B4-BE49-F238E27FC236}">
              <a16:creationId xmlns:a16="http://schemas.microsoft.com/office/drawing/2014/main" id="{78F66191-A957-3D04-5EAD-B25860F897A2}"/>
            </a:ext>
          </a:extLst>
        </xdr:cNvPr>
        <xdr:cNvSpPr>
          <a:spLocks noChangeArrowheads="1"/>
        </xdr:cNvSpPr>
      </xdr:nvSpPr>
      <xdr:spPr bwMode="auto">
        <a:xfrm>
          <a:off x="6276975" y="0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476250</xdr:colOff>
      <xdr:row>0</xdr:row>
      <xdr:rowOff>0</xdr:rowOff>
    </xdr:from>
    <xdr:ext cx="0" cy="142875"/>
    <xdr:sp macro="" textlink="">
      <xdr:nvSpPr>
        <xdr:cNvPr id="52278" name="Rectangle 54">
          <a:extLst>
            <a:ext uri="{FF2B5EF4-FFF2-40B4-BE49-F238E27FC236}">
              <a16:creationId xmlns:a16="http://schemas.microsoft.com/office/drawing/2014/main" id="{A0ED0290-247E-B92E-1DB9-8A149250EBAE}"/>
            </a:ext>
          </a:extLst>
        </xdr:cNvPr>
        <xdr:cNvSpPr>
          <a:spLocks noChangeArrowheads="1"/>
        </xdr:cNvSpPr>
      </xdr:nvSpPr>
      <xdr:spPr bwMode="auto">
        <a:xfrm>
          <a:off x="6410325" y="0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371475</xdr:colOff>
      <xdr:row>0</xdr:row>
      <xdr:rowOff>0</xdr:rowOff>
    </xdr:from>
    <xdr:ext cx="0" cy="142875"/>
    <xdr:sp macro="" textlink="">
      <xdr:nvSpPr>
        <xdr:cNvPr id="52279" name="Rectangle 55">
          <a:extLst>
            <a:ext uri="{FF2B5EF4-FFF2-40B4-BE49-F238E27FC236}">
              <a16:creationId xmlns:a16="http://schemas.microsoft.com/office/drawing/2014/main" id="{D597802D-52A3-CF5E-0184-3A2E1631DB17}"/>
            </a:ext>
          </a:extLst>
        </xdr:cNvPr>
        <xdr:cNvSpPr>
          <a:spLocks noChangeArrowheads="1"/>
        </xdr:cNvSpPr>
      </xdr:nvSpPr>
      <xdr:spPr bwMode="auto">
        <a:xfrm>
          <a:off x="6819900" y="0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333375</xdr:colOff>
      <xdr:row>0</xdr:row>
      <xdr:rowOff>0</xdr:rowOff>
    </xdr:from>
    <xdr:ext cx="0" cy="390525"/>
    <xdr:sp macro="" textlink="">
      <xdr:nvSpPr>
        <xdr:cNvPr id="52280" name="Rectangle 56">
          <a:extLst>
            <a:ext uri="{FF2B5EF4-FFF2-40B4-BE49-F238E27FC236}">
              <a16:creationId xmlns:a16="http://schemas.microsoft.com/office/drawing/2014/main" id="{5B29E48D-92B3-5DD5-3997-42CE030B7B2C}"/>
            </a:ext>
          </a:extLst>
        </xdr:cNvPr>
        <xdr:cNvSpPr>
          <a:spLocks noChangeArrowheads="1"/>
        </xdr:cNvSpPr>
      </xdr:nvSpPr>
      <xdr:spPr bwMode="auto">
        <a:xfrm>
          <a:off x="5819775" y="0"/>
          <a:ext cx="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14</xdr:col>
      <xdr:colOff>400050</xdr:colOff>
      <xdr:row>0</xdr:row>
      <xdr:rowOff>0</xdr:rowOff>
    </xdr:from>
    <xdr:ext cx="0" cy="390525"/>
    <xdr:sp macro="" textlink="">
      <xdr:nvSpPr>
        <xdr:cNvPr id="52281" name="Rectangle 57">
          <a:extLst>
            <a:ext uri="{FF2B5EF4-FFF2-40B4-BE49-F238E27FC236}">
              <a16:creationId xmlns:a16="http://schemas.microsoft.com/office/drawing/2014/main" id="{D774B1C3-A659-E259-7186-3BAB5B97A560}"/>
            </a:ext>
          </a:extLst>
        </xdr:cNvPr>
        <xdr:cNvSpPr>
          <a:spLocks noChangeArrowheads="1"/>
        </xdr:cNvSpPr>
      </xdr:nvSpPr>
      <xdr:spPr bwMode="auto">
        <a:xfrm>
          <a:off x="6334125" y="0"/>
          <a:ext cx="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114300</xdr:colOff>
      <xdr:row>0</xdr:row>
      <xdr:rowOff>0</xdr:rowOff>
    </xdr:from>
    <xdr:ext cx="0" cy="390525"/>
    <xdr:sp macro="" textlink="">
      <xdr:nvSpPr>
        <xdr:cNvPr id="52282" name="Rectangle 58">
          <a:extLst>
            <a:ext uri="{FF2B5EF4-FFF2-40B4-BE49-F238E27FC236}">
              <a16:creationId xmlns:a16="http://schemas.microsoft.com/office/drawing/2014/main" id="{0C5EE9CA-FB14-AEFF-0ABF-9BB5BBB0F0E5}"/>
            </a:ext>
          </a:extLst>
        </xdr:cNvPr>
        <xdr:cNvSpPr>
          <a:spLocks noChangeArrowheads="1"/>
        </xdr:cNvSpPr>
      </xdr:nvSpPr>
      <xdr:spPr bwMode="auto">
        <a:xfrm>
          <a:off x="6562725" y="0"/>
          <a:ext cx="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16</xdr:col>
      <xdr:colOff>238125</xdr:colOff>
      <xdr:row>0</xdr:row>
      <xdr:rowOff>0</xdr:rowOff>
    </xdr:from>
    <xdr:ext cx="0" cy="390525"/>
    <xdr:sp macro="" textlink="">
      <xdr:nvSpPr>
        <xdr:cNvPr id="52283" name="Rectangle 59">
          <a:extLst>
            <a:ext uri="{FF2B5EF4-FFF2-40B4-BE49-F238E27FC236}">
              <a16:creationId xmlns:a16="http://schemas.microsoft.com/office/drawing/2014/main" id="{219FB655-2B1F-0707-0BDB-4C52741A1DB3}"/>
            </a:ext>
          </a:extLst>
        </xdr:cNvPr>
        <xdr:cNvSpPr>
          <a:spLocks noChangeArrowheads="1"/>
        </xdr:cNvSpPr>
      </xdr:nvSpPr>
      <xdr:spPr bwMode="auto">
        <a:xfrm>
          <a:off x="7200900" y="0"/>
          <a:ext cx="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</xdr:col>
      <xdr:colOff>0</xdr:colOff>
      <xdr:row>0</xdr:row>
      <xdr:rowOff>0</xdr:rowOff>
    </xdr:from>
    <xdr:ext cx="0" cy="209550"/>
    <xdr:sp macro="" textlink="">
      <xdr:nvSpPr>
        <xdr:cNvPr id="52284" name="Rectangle 60">
          <a:extLst>
            <a:ext uri="{FF2B5EF4-FFF2-40B4-BE49-F238E27FC236}">
              <a16:creationId xmlns:a16="http://schemas.microsoft.com/office/drawing/2014/main" id="{E06B74B7-5CA8-2650-3DC1-1743B5D59364}"/>
            </a:ext>
          </a:extLst>
        </xdr:cNvPr>
        <xdr:cNvSpPr>
          <a:spLocks noChangeArrowheads="1"/>
        </xdr:cNvSpPr>
      </xdr:nvSpPr>
      <xdr:spPr bwMode="auto">
        <a:xfrm>
          <a:off x="6448425" y="0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12</xdr:col>
      <xdr:colOff>95250</xdr:colOff>
      <xdr:row>0</xdr:row>
      <xdr:rowOff>0</xdr:rowOff>
    </xdr:from>
    <xdr:to>
      <xdr:col>12</xdr:col>
      <xdr:colOff>190500</xdr:colOff>
      <xdr:row>0</xdr:row>
      <xdr:rowOff>0</xdr:rowOff>
    </xdr:to>
    <xdr:sp macro="" textlink="">
      <xdr:nvSpPr>
        <xdr:cNvPr id="52285" name="Line 61">
          <a:extLst>
            <a:ext uri="{FF2B5EF4-FFF2-40B4-BE49-F238E27FC236}">
              <a16:creationId xmlns:a16="http://schemas.microsoft.com/office/drawing/2014/main" id="{D764278C-7737-9078-0CE7-E9D7DFEB2DE9}"/>
            </a:ext>
          </a:extLst>
        </xdr:cNvPr>
        <xdr:cNvSpPr>
          <a:spLocks noChangeShapeType="1"/>
        </xdr:cNvSpPr>
      </xdr:nvSpPr>
      <xdr:spPr bwMode="auto">
        <a:xfrm>
          <a:off x="5162550" y="0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95250</xdr:colOff>
      <xdr:row>0</xdr:row>
      <xdr:rowOff>0</xdr:rowOff>
    </xdr:from>
    <xdr:to>
      <xdr:col>6</xdr:col>
      <xdr:colOff>190500</xdr:colOff>
      <xdr:row>0</xdr:row>
      <xdr:rowOff>0</xdr:rowOff>
    </xdr:to>
    <xdr:sp macro="" textlink="">
      <xdr:nvSpPr>
        <xdr:cNvPr id="52286" name="Line 62">
          <a:extLst>
            <a:ext uri="{FF2B5EF4-FFF2-40B4-BE49-F238E27FC236}">
              <a16:creationId xmlns:a16="http://schemas.microsoft.com/office/drawing/2014/main" id="{DED1E63B-CE95-15D0-7583-0D326282DAF2}"/>
            </a:ext>
          </a:extLst>
        </xdr:cNvPr>
        <xdr:cNvSpPr>
          <a:spLocks noChangeShapeType="1"/>
        </xdr:cNvSpPr>
      </xdr:nvSpPr>
      <xdr:spPr bwMode="auto">
        <a:xfrm>
          <a:off x="2647950" y="0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361950</xdr:colOff>
      <xdr:row>0</xdr:row>
      <xdr:rowOff>0</xdr:rowOff>
    </xdr:from>
    <xdr:to>
      <xdr:col>2</xdr:col>
      <xdr:colOff>419100</xdr:colOff>
      <xdr:row>0</xdr:row>
      <xdr:rowOff>0</xdr:rowOff>
    </xdr:to>
    <xdr:sp macro="" textlink="">
      <xdr:nvSpPr>
        <xdr:cNvPr id="52287" name="Line 63">
          <a:extLst>
            <a:ext uri="{FF2B5EF4-FFF2-40B4-BE49-F238E27FC236}">
              <a16:creationId xmlns:a16="http://schemas.microsoft.com/office/drawing/2014/main" id="{EF2151D9-32B7-D028-C344-187BA745C883}"/>
            </a:ext>
          </a:extLst>
        </xdr:cNvPr>
        <xdr:cNvSpPr>
          <a:spLocks noChangeShapeType="1"/>
        </xdr:cNvSpPr>
      </xdr:nvSpPr>
      <xdr:spPr bwMode="auto">
        <a:xfrm>
          <a:off x="1190625" y="0"/>
          <a:ext cx="571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428625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52288" name="Line 64">
          <a:extLst>
            <a:ext uri="{FF2B5EF4-FFF2-40B4-BE49-F238E27FC236}">
              <a16:creationId xmlns:a16="http://schemas.microsoft.com/office/drawing/2014/main" id="{AB2303E9-BFF4-AE38-62AB-DEE56303EBD5}"/>
            </a:ext>
          </a:extLst>
        </xdr:cNvPr>
        <xdr:cNvSpPr>
          <a:spLocks noChangeShapeType="1"/>
        </xdr:cNvSpPr>
      </xdr:nvSpPr>
      <xdr:spPr bwMode="auto">
        <a:xfrm flipV="1">
          <a:off x="1257300" y="0"/>
          <a:ext cx="38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514350</xdr:colOff>
      <xdr:row>0</xdr:row>
      <xdr:rowOff>0</xdr:rowOff>
    </xdr:from>
    <xdr:to>
      <xdr:col>4</xdr:col>
      <xdr:colOff>466725</xdr:colOff>
      <xdr:row>0</xdr:row>
      <xdr:rowOff>0</xdr:rowOff>
    </xdr:to>
    <xdr:sp macro="" textlink="">
      <xdr:nvSpPr>
        <xdr:cNvPr id="52289" name="Line 65">
          <a:extLst>
            <a:ext uri="{FF2B5EF4-FFF2-40B4-BE49-F238E27FC236}">
              <a16:creationId xmlns:a16="http://schemas.microsoft.com/office/drawing/2014/main" id="{EBBDC99C-958C-7A7B-721B-0A001B743F28}"/>
            </a:ext>
          </a:extLst>
        </xdr:cNvPr>
        <xdr:cNvSpPr>
          <a:spLocks noChangeShapeType="1"/>
        </xdr:cNvSpPr>
      </xdr:nvSpPr>
      <xdr:spPr bwMode="auto">
        <a:xfrm flipV="1">
          <a:off x="1295400" y="0"/>
          <a:ext cx="8382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114300</xdr:colOff>
      <xdr:row>0</xdr:row>
      <xdr:rowOff>0</xdr:rowOff>
    </xdr:from>
    <xdr:to>
      <xdr:col>13</xdr:col>
      <xdr:colOff>180975</xdr:colOff>
      <xdr:row>0</xdr:row>
      <xdr:rowOff>0</xdr:rowOff>
    </xdr:to>
    <xdr:sp macro="" textlink="">
      <xdr:nvSpPr>
        <xdr:cNvPr id="52290" name="Line 66">
          <a:extLst>
            <a:ext uri="{FF2B5EF4-FFF2-40B4-BE49-F238E27FC236}">
              <a16:creationId xmlns:a16="http://schemas.microsoft.com/office/drawing/2014/main" id="{83C9E443-2283-9638-F45F-4E626C49E8A4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66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190500</xdr:colOff>
      <xdr:row>0</xdr:row>
      <xdr:rowOff>0</xdr:rowOff>
    </xdr:from>
    <xdr:to>
      <xdr:col>13</xdr:col>
      <xdr:colOff>285750</xdr:colOff>
      <xdr:row>0</xdr:row>
      <xdr:rowOff>0</xdr:rowOff>
    </xdr:to>
    <xdr:sp macro="" textlink="">
      <xdr:nvSpPr>
        <xdr:cNvPr id="52291" name="Line 67">
          <a:extLst>
            <a:ext uri="{FF2B5EF4-FFF2-40B4-BE49-F238E27FC236}">
              <a16:creationId xmlns:a16="http://schemas.microsoft.com/office/drawing/2014/main" id="{6FD954D5-0665-ABD0-FF3E-884D4B71AA83}"/>
            </a:ext>
          </a:extLst>
        </xdr:cNvPr>
        <xdr:cNvSpPr>
          <a:spLocks noChangeShapeType="1"/>
        </xdr:cNvSpPr>
      </xdr:nvSpPr>
      <xdr:spPr bwMode="auto">
        <a:xfrm flipV="1">
          <a:off x="5676900" y="0"/>
          <a:ext cx="95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276225</xdr:colOff>
      <xdr:row>0</xdr:row>
      <xdr:rowOff>0</xdr:rowOff>
    </xdr:from>
    <xdr:to>
      <xdr:col>16</xdr:col>
      <xdr:colOff>409575</xdr:colOff>
      <xdr:row>0</xdr:row>
      <xdr:rowOff>0</xdr:rowOff>
    </xdr:to>
    <xdr:sp macro="" textlink="">
      <xdr:nvSpPr>
        <xdr:cNvPr id="52292" name="Line 68">
          <a:extLst>
            <a:ext uri="{FF2B5EF4-FFF2-40B4-BE49-F238E27FC236}">
              <a16:creationId xmlns:a16="http://schemas.microsoft.com/office/drawing/2014/main" id="{6407488A-E6BD-BFE5-5798-FC277B6E6B6C}"/>
            </a:ext>
          </a:extLst>
        </xdr:cNvPr>
        <xdr:cNvSpPr>
          <a:spLocks noChangeShapeType="1"/>
        </xdr:cNvSpPr>
      </xdr:nvSpPr>
      <xdr:spPr bwMode="auto">
        <a:xfrm>
          <a:off x="5762625" y="0"/>
          <a:ext cx="1609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438150</xdr:colOff>
      <xdr:row>0</xdr:row>
      <xdr:rowOff>0</xdr:rowOff>
    </xdr:from>
    <xdr:to>
      <xdr:col>14</xdr:col>
      <xdr:colOff>485775</xdr:colOff>
      <xdr:row>0</xdr:row>
      <xdr:rowOff>0</xdr:rowOff>
    </xdr:to>
    <xdr:sp macro="" textlink="">
      <xdr:nvSpPr>
        <xdr:cNvPr id="52293" name="Line 69">
          <a:extLst>
            <a:ext uri="{FF2B5EF4-FFF2-40B4-BE49-F238E27FC236}">
              <a16:creationId xmlns:a16="http://schemas.microsoft.com/office/drawing/2014/main" id="{9FD6FAD8-6FAB-C718-9937-456FFE322A20}"/>
            </a:ext>
          </a:extLst>
        </xdr:cNvPr>
        <xdr:cNvSpPr>
          <a:spLocks noChangeShapeType="1"/>
        </xdr:cNvSpPr>
      </xdr:nvSpPr>
      <xdr:spPr bwMode="auto">
        <a:xfrm>
          <a:off x="6372225" y="0"/>
          <a:ext cx="47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495300</xdr:colOff>
      <xdr:row>0</xdr:row>
      <xdr:rowOff>0</xdr:rowOff>
    </xdr:from>
    <xdr:to>
      <xdr:col>14</xdr:col>
      <xdr:colOff>514350</xdr:colOff>
      <xdr:row>0</xdr:row>
      <xdr:rowOff>0</xdr:rowOff>
    </xdr:to>
    <xdr:sp macro="" textlink="">
      <xdr:nvSpPr>
        <xdr:cNvPr id="52294" name="Line 70">
          <a:extLst>
            <a:ext uri="{FF2B5EF4-FFF2-40B4-BE49-F238E27FC236}">
              <a16:creationId xmlns:a16="http://schemas.microsoft.com/office/drawing/2014/main" id="{B377B8B2-1AB7-83C8-47CC-00B616D0966C}"/>
            </a:ext>
          </a:extLst>
        </xdr:cNvPr>
        <xdr:cNvSpPr>
          <a:spLocks noChangeShapeType="1"/>
        </xdr:cNvSpPr>
      </xdr:nvSpPr>
      <xdr:spPr bwMode="auto">
        <a:xfrm flipV="1">
          <a:off x="6429375" y="0"/>
          <a:ext cx="19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85725</xdr:colOff>
      <xdr:row>30</xdr:row>
      <xdr:rowOff>66675</xdr:rowOff>
    </xdr:from>
    <xdr:to>
      <xdr:col>1</xdr:col>
      <xdr:colOff>161925</xdr:colOff>
      <xdr:row>30</xdr:row>
      <xdr:rowOff>66675</xdr:rowOff>
    </xdr:to>
    <xdr:sp macro="" textlink="">
      <xdr:nvSpPr>
        <xdr:cNvPr id="52295" name="Line 71">
          <a:extLst>
            <a:ext uri="{FF2B5EF4-FFF2-40B4-BE49-F238E27FC236}">
              <a16:creationId xmlns:a16="http://schemas.microsoft.com/office/drawing/2014/main" id="{CFB78B5D-80C4-F6A3-315F-E5F3E4244D7D}"/>
            </a:ext>
          </a:extLst>
        </xdr:cNvPr>
        <xdr:cNvSpPr>
          <a:spLocks noChangeShapeType="1"/>
        </xdr:cNvSpPr>
      </xdr:nvSpPr>
      <xdr:spPr bwMode="auto">
        <a:xfrm>
          <a:off x="590550" y="6267450"/>
          <a:ext cx="762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28</xdr:row>
          <xdr:rowOff>142875</xdr:rowOff>
        </xdr:from>
        <xdr:to>
          <xdr:col>1</xdr:col>
          <xdr:colOff>333375</xdr:colOff>
          <xdr:row>30</xdr:row>
          <xdr:rowOff>28575</xdr:rowOff>
        </xdr:to>
        <xdr:sp macro="" textlink="">
          <xdr:nvSpPr>
            <xdr:cNvPr id="58374" name="Check Box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22E62B4-E549-6613-A41F-B4D09F8481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29</xdr:row>
          <xdr:rowOff>133350</xdr:rowOff>
        </xdr:from>
        <xdr:to>
          <xdr:col>1</xdr:col>
          <xdr:colOff>333375</xdr:colOff>
          <xdr:row>31</xdr:row>
          <xdr:rowOff>19050</xdr:rowOff>
        </xdr:to>
        <xdr:sp macro="" textlink="">
          <xdr:nvSpPr>
            <xdr:cNvPr id="58375" name="Check Box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DF00FD5B-0F6E-E97D-63AE-96C8AEB6B1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30</xdr:row>
          <xdr:rowOff>133350</xdr:rowOff>
        </xdr:from>
        <xdr:to>
          <xdr:col>1</xdr:col>
          <xdr:colOff>333375</xdr:colOff>
          <xdr:row>32</xdr:row>
          <xdr:rowOff>19050</xdr:rowOff>
        </xdr:to>
        <xdr:sp macro="" textlink="">
          <xdr:nvSpPr>
            <xdr:cNvPr id="58376" name="Check Box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5F405F3F-1306-DD33-A45A-163F814B4C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31</xdr:row>
          <xdr:rowOff>133350</xdr:rowOff>
        </xdr:from>
        <xdr:to>
          <xdr:col>1</xdr:col>
          <xdr:colOff>333375</xdr:colOff>
          <xdr:row>33</xdr:row>
          <xdr:rowOff>19050</xdr:rowOff>
        </xdr:to>
        <xdr:sp macro="" textlink="">
          <xdr:nvSpPr>
            <xdr:cNvPr id="58377" name="Check Box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F567ED1-1A3B-DFB3-1400-EFC9D9D8B0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32</xdr:row>
          <xdr:rowOff>142875</xdr:rowOff>
        </xdr:from>
        <xdr:to>
          <xdr:col>1</xdr:col>
          <xdr:colOff>333375</xdr:colOff>
          <xdr:row>34</xdr:row>
          <xdr:rowOff>28575</xdr:rowOff>
        </xdr:to>
        <xdr:sp macro="" textlink="">
          <xdr:nvSpPr>
            <xdr:cNvPr id="58378" name="Check Box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354370E2-5725-88FE-013A-1D7AFCB345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30</xdr:row>
          <xdr:rowOff>133350</xdr:rowOff>
        </xdr:from>
        <xdr:to>
          <xdr:col>10</xdr:col>
          <xdr:colOff>333375</xdr:colOff>
          <xdr:row>32</xdr:row>
          <xdr:rowOff>19050</xdr:rowOff>
        </xdr:to>
        <xdr:sp macro="" textlink="">
          <xdr:nvSpPr>
            <xdr:cNvPr id="58379" name="Check Box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3DE6F17A-7ED4-810D-8BE4-1F50649CE1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29</xdr:row>
          <xdr:rowOff>133350</xdr:rowOff>
        </xdr:from>
        <xdr:to>
          <xdr:col>10</xdr:col>
          <xdr:colOff>333375</xdr:colOff>
          <xdr:row>31</xdr:row>
          <xdr:rowOff>19050</xdr:rowOff>
        </xdr:to>
        <xdr:sp macro="" textlink="">
          <xdr:nvSpPr>
            <xdr:cNvPr id="58380" name="Check Box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897692C0-D102-8D30-D513-F30E09BFC2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28</xdr:row>
          <xdr:rowOff>133350</xdr:rowOff>
        </xdr:from>
        <xdr:to>
          <xdr:col>10</xdr:col>
          <xdr:colOff>333375</xdr:colOff>
          <xdr:row>30</xdr:row>
          <xdr:rowOff>19050</xdr:rowOff>
        </xdr:to>
        <xdr:sp macro="" textlink="">
          <xdr:nvSpPr>
            <xdr:cNvPr id="58381" name="Check Box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4D5E0238-668F-F2E3-871A-F945859844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142875</xdr:rowOff>
        </xdr:from>
        <xdr:to>
          <xdr:col>1</xdr:col>
          <xdr:colOff>342900</xdr:colOff>
          <xdr:row>40</xdr:row>
          <xdr:rowOff>28575</xdr:rowOff>
        </xdr:to>
        <xdr:sp macro="" textlink="">
          <xdr:nvSpPr>
            <xdr:cNvPr id="58385" name="Check Box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5D5C5831-06C8-64A6-5AE9-E12A219CA5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133350</xdr:rowOff>
        </xdr:from>
        <xdr:to>
          <xdr:col>1</xdr:col>
          <xdr:colOff>342900</xdr:colOff>
          <xdr:row>39</xdr:row>
          <xdr:rowOff>19050</xdr:rowOff>
        </xdr:to>
        <xdr:sp macro="" textlink="">
          <xdr:nvSpPr>
            <xdr:cNvPr id="58386" name="Check Box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8ED4D627-8F36-98F6-9450-272D042AB3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133350</xdr:rowOff>
        </xdr:from>
        <xdr:to>
          <xdr:col>1</xdr:col>
          <xdr:colOff>342900</xdr:colOff>
          <xdr:row>38</xdr:row>
          <xdr:rowOff>19050</xdr:rowOff>
        </xdr:to>
        <xdr:sp macro="" textlink="">
          <xdr:nvSpPr>
            <xdr:cNvPr id="58387" name="Check Box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FE4E7E62-FA84-9E2A-883E-50D9FE1B69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123825</xdr:rowOff>
        </xdr:from>
        <xdr:to>
          <xdr:col>1</xdr:col>
          <xdr:colOff>342900</xdr:colOff>
          <xdr:row>37</xdr:row>
          <xdr:rowOff>0</xdr:rowOff>
        </xdr:to>
        <xdr:sp macro="" textlink="">
          <xdr:nvSpPr>
            <xdr:cNvPr id="58388" name="Check Box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4AEA30E9-DD39-204B-57A8-66A7E39BE0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60</xdr:row>
          <xdr:rowOff>142875</xdr:rowOff>
        </xdr:from>
        <xdr:to>
          <xdr:col>6</xdr:col>
          <xdr:colOff>38100</xdr:colOff>
          <xdr:row>62</xdr:row>
          <xdr:rowOff>28575</xdr:rowOff>
        </xdr:to>
        <xdr:sp macro="" textlink="">
          <xdr:nvSpPr>
            <xdr:cNvPr id="58393" name="Check Box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F66365A1-D670-ABF0-54AE-CFE050300B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Approved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60</xdr:row>
          <xdr:rowOff>152400</xdr:rowOff>
        </xdr:from>
        <xdr:to>
          <xdr:col>8</xdr:col>
          <xdr:colOff>28575</xdr:colOff>
          <xdr:row>62</xdr:row>
          <xdr:rowOff>38100</xdr:rowOff>
        </xdr:to>
        <xdr:sp macro="" textlink="">
          <xdr:nvSpPr>
            <xdr:cNvPr id="58394" name="Check Box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1C5E7826-193A-6E4F-DDEB-45018F78CC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Rejected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31</xdr:row>
          <xdr:rowOff>133350</xdr:rowOff>
        </xdr:from>
        <xdr:to>
          <xdr:col>10</xdr:col>
          <xdr:colOff>333375</xdr:colOff>
          <xdr:row>33</xdr:row>
          <xdr:rowOff>19050</xdr:rowOff>
        </xdr:to>
        <xdr:sp macro="" textlink="">
          <xdr:nvSpPr>
            <xdr:cNvPr id="58396" name="Check Box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BD00E15C-56E7-2A65-A5DC-112D425C10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23</xdr:row>
          <xdr:rowOff>95250</xdr:rowOff>
        </xdr:from>
        <xdr:to>
          <xdr:col>15</xdr:col>
          <xdr:colOff>38100</xdr:colOff>
          <xdr:row>24</xdr:row>
          <xdr:rowOff>142875</xdr:rowOff>
        </xdr:to>
        <xdr:sp macro="" textlink="">
          <xdr:nvSpPr>
            <xdr:cNvPr id="58397" name="Check Box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AEEB7D84-279E-5CC8-DD1A-A5CD4DFFC9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Yes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23</xdr:row>
          <xdr:rowOff>95250</xdr:rowOff>
        </xdr:from>
        <xdr:to>
          <xdr:col>16</xdr:col>
          <xdr:colOff>485775</xdr:colOff>
          <xdr:row>24</xdr:row>
          <xdr:rowOff>142875</xdr:rowOff>
        </xdr:to>
        <xdr:sp macro="" textlink="">
          <xdr:nvSpPr>
            <xdr:cNvPr id="58398" name="Check Box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20064CA9-9DCD-B8B9-2269-8F859734F7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25</xdr:row>
          <xdr:rowOff>133350</xdr:rowOff>
        </xdr:from>
        <xdr:to>
          <xdr:col>15</xdr:col>
          <xdr:colOff>38100</xdr:colOff>
          <xdr:row>27</xdr:row>
          <xdr:rowOff>19050</xdr:rowOff>
        </xdr:to>
        <xdr:sp macro="" textlink="">
          <xdr:nvSpPr>
            <xdr:cNvPr id="58399" name="Check Box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6602040A-4AFA-597E-5A60-9E8238F22C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Yes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104775</xdr:colOff>
          <xdr:row>25</xdr:row>
          <xdr:rowOff>142875</xdr:rowOff>
        </xdr:from>
        <xdr:to>
          <xdr:col>16</xdr:col>
          <xdr:colOff>495300</xdr:colOff>
          <xdr:row>27</xdr:row>
          <xdr:rowOff>28575</xdr:rowOff>
        </xdr:to>
        <xdr:sp macro="" textlink="">
          <xdr:nvSpPr>
            <xdr:cNvPr id="58400" name="Check Box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EF88B098-698F-55A5-70A6-96C9CA218C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32</xdr:row>
          <xdr:rowOff>133350</xdr:rowOff>
        </xdr:from>
        <xdr:to>
          <xdr:col>10</xdr:col>
          <xdr:colOff>333375</xdr:colOff>
          <xdr:row>34</xdr:row>
          <xdr:rowOff>19050</xdr:rowOff>
        </xdr:to>
        <xdr:sp macro="" textlink="">
          <xdr:nvSpPr>
            <xdr:cNvPr id="58401" name="Check Box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DF64467-518A-919E-0CED-40914F4C07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41</xdr:row>
          <xdr:rowOff>133350</xdr:rowOff>
        </xdr:from>
        <xdr:to>
          <xdr:col>1</xdr:col>
          <xdr:colOff>342900</xdr:colOff>
          <xdr:row>43</xdr:row>
          <xdr:rowOff>19050</xdr:rowOff>
        </xdr:to>
        <xdr:sp macro="" textlink="">
          <xdr:nvSpPr>
            <xdr:cNvPr id="58404" name="Check Box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9DDBFA20-EE4B-8D53-3D87-D3361296A7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40</xdr:row>
          <xdr:rowOff>190500</xdr:rowOff>
        </xdr:from>
        <xdr:to>
          <xdr:col>3</xdr:col>
          <xdr:colOff>257175</xdr:colOff>
          <xdr:row>42</xdr:row>
          <xdr:rowOff>28575</xdr:rowOff>
        </xdr:to>
        <xdr:sp macro="" textlink="">
          <xdr:nvSpPr>
            <xdr:cNvPr id="58405" name="Check Box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1DB06029-88FA-E571-A46C-9BB11101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40</xdr:row>
          <xdr:rowOff>190500</xdr:rowOff>
        </xdr:from>
        <xdr:to>
          <xdr:col>4</xdr:col>
          <xdr:colOff>28575</xdr:colOff>
          <xdr:row>42</xdr:row>
          <xdr:rowOff>28575</xdr:rowOff>
        </xdr:to>
        <xdr:sp macro="" textlink="">
          <xdr:nvSpPr>
            <xdr:cNvPr id="58406" name="Check Box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7095BBB2-2DE2-260D-171D-B17AE37665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61</xdr:row>
          <xdr:rowOff>133350</xdr:rowOff>
        </xdr:from>
        <xdr:to>
          <xdr:col>6</xdr:col>
          <xdr:colOff>266700</xdr:colOff>
          <xdr:row>63</xdr:row>
          <xdr:rowOff>19050</xdr:rowOff>
        </xdr:to>
        <xdr:sp macro="" textlink="">
          <xdr:nvSpPr>
            <xdr:cNvPr id="58430" name="Check Box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151284D1-3FF5-04AD-BA2C-CA8C42BD64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Interim Approval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40</xdr:row>
          <xdr:rowOff>190500</xdr:rowOff>
        </xdr:from>
        <xdr:to>
          <xdr:col>4</xdr:col>
          <xdr:colOff>257175</xdr:colOff>
          <xdr:row>42</xdr:row>
          <xdr:rowOff>28575</xdr:rowOff>
        </xdr:to>
        <xdr:sp macro="" textlink="">
          <xdr:nvSpPr>
            <xdr:cNvPr id="58431" name="Check Box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70A4D5D6-8401-997D-7BAA-E7858F1992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40</xdr:row>
          <xdr:rowOff>190500</xdr:rowOff>
        </xdr:from>
        <xdr:to>
          <xdr:col>5</xdr:col>
          <xdr:colOff>28575</xdr:colOff>
          <xdr:row>42</xdr:row>
          <xdr:rowOff>28575</xdr:rowOff>
        </xdr:to>
        <xdr:sp macro="" textlink="">
          <xdr:nvSpPr>
            <xdr:cNvPr id="58432" name="Check Box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FB729118-C5B6-EA2B-26A3-5F3B3EBDE1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40</xdr:row>
          <xdr:rowOff>190500</xdr:rowOff>
        </xdr:from>
        <xdr:to>
          <xdr:col>5</xdr:col>
          <xdr:colOff>257175</xdr:colOff>
          <xdr:row>42</xdr:row>
          <xdr:rowOff>28575</xdr:rowOff>
        </xdr:to>
        <xdr:sp macro="" textlink="">
          <xdr:nvSpPr>
            <xdr:cNvPr id="58433" name="Check Box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DDF41F31-C8CB-FAD1-D70D-9B4F331F61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40</xdr:row>
          <xdr:rowOff>190500</xdr:rowOff>
        </xdr:from>
        <xdr:to>
          <xdr:col>6</xdr:col>
          <xdr:colOff>28575</xdr:colOff>
          <xdr:row>42</xdr:row>
          <xdr:rowOff>28575</xdr:rowOff>
        </xdr:to>
        <xdr:sp macro="" textlink="">
          <xdr:nvSpPr>
            <xdr:cNvPr id="58434" name="Check Box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C129CB20-7D81-F7EA-2376-C2D882185A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40</xdr:row>
          <xdr:rowOff>190500</xdr:rowOff>
        </xdr:from>
        <xdr:to>
          <xdr:col>6</xdr:col>
          <xdr:colOff>257175</xdr:colOff>
          <xdr:row>42</xdr:row>
          <xdr:rowOff>28575</xdr:rowOff>
        </xdr:to>
        <xdr:sp macro="" textlink="">
          <xdr:nvSpPr>
            <xdr:cNvPr id="58435" name="Check Box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8E6D95F9-A297-BB51-65B8-BA7EE42459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40</xdr:row>
          <xdr:rowOff>190500</xdr:rowOff>
        </xdr:from>
        <xdr:to>
          <xdr:col>7</xdr:col>
          <xdr:colOff>28575</xdr:colOff>
          <xdr:row>42</xdr:row>
          <xdr:rowOff>28575</xdr:rowOff>
        </xdr:to>
        <xdr:sp macro="" textlink="">
          <xdr:nvSpPr>
            <xdr:cNvPr id="58436" name="Check Box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8986FB92-B19F-A325-9BA9-145BFD1CE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40</xdr:row>
          <xdr:rowOff>190500</xdr:rowOff>
        </xdr:from>
        <xdr:to>
          <xdr:col>7</xdr:col>
          <xdr:colOff>257175</xdr:colOff>
          <xdr:row>42</xdr:row>
          <xdr:rowOff>28575</xdr:rowOff>
        </xdr:to>
        <xdr:sp macro="" textlink="">
          <xdr:nvSpPr>
            <xdr:cNvPr id="58437" name="Check Box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E69852AD-1777-A094-3563-76F2527A91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40</xdr:row>
          <xdr:rowOff>190500</xdr:rowOff>
        </xdr:from>
        <xdr:to>
          <xdr:col>8</xdr:col>
          <xdr:colOff>28575</xdr:colOff>
          <xdr:row>42</xdr:row>
          <xdr:rowOff>28575</xdr:rowOff>
        </xdr:to>
        <xdr:sp macro="" textlink="">
          <xdr:nvSpPr>
            <xdr:cNvPr id="58438" name="Check Box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4B0D8EF-1E20-E0BA-A29C-51D79449B0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40</xdr:row>
          <xdr:rowOff>190500</xdr:rowOff>
        </xdr:from>
        <xdr:to>
          <xdr:col>8</xdr:col>
          <xdr:colOff>257175</xdr:colOff>
          <xdr:row>42</xdr:row>
          <xdr:rowOff>28575</xdr:rowOff>
        </xdr:to>
        <xdr:sp macro="" textlink="">
          <xdr:nvSpPr>
            <xdr:cNvPr id="58439" name="Check Box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EA1DAB40-C4CE-5FFD-7845-6A2D572D3E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238125</xdr:colOff>
          <xdr:row>40</xdr:row>
          <xdr:rowOff>190500</xdr:rowOff>
        </xdr:from>
        <xdr:to>
          <xdr:col>9</xdr:col>
          <xdr:colOff>28575</xdr:colOff>
          <xdr:row>42</xdr:row>
          <xdr:rowOff>28575</xdr:rowOff>
        </xdr:to>
        <xdr:sp macro="" textlink="">
          <xdr:nvSpPr>
            <xdr:cNvPr id="58440" name="Check Box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F18C049F-EE02-36A1-56CE-F9FF70725F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40</xdr:row>
          <xdr:rowOff>190500</xdr:rowOff>
        </xdr:from>
        <xdr:to>
          <xdr:col>9</xdr:col>
          <xdr:colOff>257175</xdr:colOff>
          <xdr:row>42</xdr:row>
          <xdr:rowOff>28575</xdr:rowOff>
        </xdr:to>
        <xdr:sp macro="" textlink="">
          <xdr:nvSpPr>
            <xdr:cNvPr id="58441" name="Check Box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65359091-08F7-5C29-9560-926B629B53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238125</xdr:colOff>
          <xdr:row>40</xdr:row>
          <xdr:rowOff>190500</xdr:rowOff>
        </xdr:from>
        <xdr:to>
          <xdr:col>10</xdr:col>
          <xdr:colOff>28575</xdr:colOff>
          <xdr:row>42</xdr:row>
          <xdr:rowOff>28575</xdr:rowOff>
        </xdr:to>
        <xdr:sp macro="" textlink="">
          <xdr:nvSpPr>
            <xdr:cNvPr id="58442" name="Check Box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3474117A-EBA5-0CDA-A631-B0D36B1B2D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40</xdr:row>
          <xdr:rowOff>190500</xdr:rowOff>
        </xdr:from>
        <xdr:to>
          <xdr:col>10</xdr:col>
          <xdr:colOff>257175</xdr:colOff>
          <xdr:row>42</xdr:row>
          <xdr:rowOff>28575</xdr:rowOff>
        </xdr:to>
        <xdr:sp macro="" textlink="">
          <xdr:nvSpPr>
            <xdr:cNvPr id="58443" name="Check Box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7678D868-E56A-93E4-2CD5-349BB2D3DF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40</xdr:row>
          <xdr:rowOff>190500</xdr:rowOff>
        </xdr:from>
        <xdr:to>
          <xdr:col>11</xdr:col>
          <xdr:colOff>28575</xdr:colOff>
          <xdr:row>42</xdr:row>
          <xdr:rowOff>28575</xdr:rowOff>
        </xdr:to>
        <xdr:sp macro="" textlink="">
          <xdr:nvSpPr>
            <xdr:cNvPr id="58444" name="Check Box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35E342C5-12C6-B8FC-1BFB-710BC13E42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40</xdr:row>
          <xdr:rowOff>190500</xdr:rowOff>
        </xdr:from>
        <xdr:to>
          <xdr:col>11</xdr:col>
          <xdr:colOff>257175</xdr:colOff>
          <xdr:row>42</xdr:row>
          <xdr:rowOff>28575</xdr:rowOff>
        </xdr:to>
        <xdr:sp macro="" textlink="">
          <xdr:nvSpPr>
            <xdr:cNvPr id="58445" name="Check Box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679BEAC5-83D0-1B00-D9A6-A1615EA73D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40</xdr:row>
          <xdr:rowOff>190500</xdr:rowOff>
        </xdr:from>
        <xdr:to>
          <xdr:col>12</xdr:col>
          <xdr:colOff>28575</xdr:colOff>
          <xdr:row>42</xdr:row>
          <xdr:rowOff>28575</xdr:rowOff>
        </xdr:to>
        <xdr:sp macro="" textlink="">
          <xdr:nvSpPr>
            <xdr:cNvPr id="58446" name="Check Box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A9E23FC7-1A46-9C82-D013-5F97ED686C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Documents%20and%20Settings/hareg/Local%20Settings/Temporary%20Internet%20Files/OLK2/APQP%20WORKBOOK%20(2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TOOLCHECK"/>
      <sheetName val="QUALCHECK"/>
      <sheetName val="FLOORCHECK"/>
      <sheetName val="FLOWCHECK"/>
      <sheetName val="PFMEACHECK"/>
      <sheetName val="CONTROLCHECK"/>
      <sheetName val="TEAMFC"/>
      <sheetName val="FLOW1"/>
      <sheetName val="FLOW2"/>
      <sheetName val="FLOW 3"/>
      <sheetName val="PFMEA-1"/>
      <sheetName val="CPLAN"/>
      <sheetName val="DIMENSIONAL "/>
      <sheetName val="MATERIAL"/>
      <sheetName val="PERFORMANCE"/>
      <sheetName val="GR&amp;R ATT(Analytic)"/>
      <sheetName val="Graph"/>
      <sheetName val="GR&amp;R ATT(Risk)"/>
      <sheetName val="GR&amp;R VAR(TV)"/>
      <sheetName val="GR&amp;R VAR(Tol)"/>
      <sheetName val="GR&amp;R ANOVA"/>
      <sheetName val="Graphical"/>
      <sheetName val="GR&amp;R X&amp;R"/>
      <sheetName val="Gage R"/>
      <sheetName val="PPAP Check List"/>
      <sheetName val="GMW3059"/>
      <sheetName val="NATIPSW"/>
      <sheetName val="LISTS"/>
      <sheetName val="Module1"/>
    </sheetNames>
    <sheetDataSet>
      <sheetData sheetId="0">
        <row r="8">
          <cell r="C8" t="str">
            <v>NAME</v>
          </cell>
        </row>
        <row r="9">
          <cell r="C9" t="str">
            <v>NUMBER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9" Type="http://schemas.openxmlformats.org/officeDocument/2006/relationships/ctrlProp" Target="../ctrlProps/ctrlProp39.xml"/><Relationship Id="rId21" Type="http://schemas.openxmlformats.org/officeDocument/2006/relationships/ctrlProp" Target="../ctrlProps/ctrlProp21.xml"/><Relationship Id="rId34" Type="http://schemas.openxmlformats.org/officeDocument/2006/relationships/ctrlProp" Target="../ctrlProps/ctrlProp34.xml"/><Relationship Id="rId42" Type="http://schemas.openxmlformats.org/officeDocument/2006/relationships/ctrlProp" Target="../ctrlProps/ctrlProp42.x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29" Type="http://schemas.openxmlformats.org/officeDocument/2006/relationships/ctrlProp" Target="../ctrlProps/ctrlProp29.xml"/><Relationship Id="rId41" Type="http://schemas.openxmlformats.org/officeDocument/2006/relationships/ctrlProp" Target="../ctrlProps/ctrlProp41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37" Type="http://schemas.openxmlformats.org/officeDocument/2006/relationships/ctrlProp" Target="../ctrlProps/ctrlProp37.xml"/><Relationship Id="rId40" Type="http://schemas.openxmlformats.org/officeDocument/2006/relationships/ctrlProp" Target="../ctrlProps/ctrlProp40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36" Type="http://schemas.openxmlformats.org/officeDocument/2006/relationships/ctrlProp" Target="../ctrlProps/ctrlProp36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31" Type="http://schemas.openxmlformats.org/officeDocument/2006/relationships/ctrlProp" Target="../ctrlProps/ctrlProp3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35" Type="http://schemas.openxmlformats.org/officeDocument/2006/relationships/ctrlProp" Target="../ctrlProps/ctrlProp35.xml"/><Relationship Id="rId43" Type="http://schemas.openxmlformats.org/officeDocument/2006/relationships/ctrlProp" Target="../ctrlProps/ctrlProp43.xml"/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38" Type="http://schemas.openxmlformats.org/officeDocument/2006/relationships/ctrlProp" Target="../ctrlProps/ctrlProp3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F7343-00A6-4FB6-B6C4-CBA75FD20D02}">
  <sheetPr codeName="Sheet1"/>
  <dimension ref="A1:C25"/>
  <sheetViews>
    <sheetView zoomScale="75" workbookViewId="0"/>
  </sheetViews>
  <sheetFormatPr defaultRowHeight="12.75"/>
  <cols>
    <col min="2" max="2" width="27.28515625" customWidth="1"/>
    <col min="3" max="3" width="45.5703125" customWidth="1"/>
  </cols>
  <sheetData>
    <row r="1" spans="1:3">
      <c r="A1" t="s">
        <v>576</v>
      </c>
      <c r="B1" s="517">
        <v>38930</v>
      </c>
    </row>
    <row r="2" spans="1:3" ht="9.9499999999999993" customHeight="1"/>
    <row r="3" spans="1:3" ht="9.9499999999999993" customHeight="1">
      <c r="A3" s="6"/>
      <c r="B3" s="7" t="s">
        <v>10</v>
      </c>
      <c r="C3" s="116"/>
    </row>
    <row r="4" spans="1:3" ht="9.9499999999999993" customHeight="1">
      <c r="B4" s="7" t="s">
        <v>10</v>
      </c>
      <c r="C4" s="1"/>
    </row>
    <row r="5" spans="1:3" ht="9.9499999999999993" customHeight="1">
      <c r="A5" s="6"/>
      <c r="B5" s="7" t="s">
        <v>10</v>
      </c>
      <c r="C5" s="116"/>
    </row>
    <row r="6" spans="1:3" ht="30" customHeight="1">
      <c r="A6" s="5"/>
      <c r="B6" s="610" t="s">
        <v>85</v>
      </c>
      <c r="C6" s="610"/>
    </row>
    <row r="7" spans="1:3" ht="30" customHeight="1">
      <c r="B7" s="610" t="s">
        <v>86</v>
      </c>
      <c r="C7" s="610"/>
    </row>
    <row r="8" spans="1:3" ht="30" customHeight="1">
      <c r="B8" s="304" t="s">
        <v>309</v>
      </c>
      <c r="C8" s="305"/>
    </row>
    <row r="9" spans="1:3" ht="12" customHeight="1">
      <c r="B9" s="8"/>
      <c r="C9" s="3"/>
    </row>
    <row r="10" spans="1:3" ht="20.100000000000001" customHeight="1">
      <c r="B10" s="146" t="s">
        <v>577</v>
      </c>
      <c r="C10" s="259" t="s">
        <v>10</v>
      </c>
    </row>
    <row r="11" spans="1:3" ht="20.100000000000001" customHeight="1">
      <c r="B11" s="146" t="s">
        <v>578</v>
      </c>
      <c r="C11" s="259" t="s">
        <v>10</v>
      </c>
    </row>
    <row r="12" spans="1:3" ht="20.100000000000001" customHeight="1">
      <c r="B12" s="146" t="s">
        <v>579</v>
      </c>
      <c r="C12" s="259"/>
    </row>
    <row r="13" spans="1:3" ht="20.100000000000001" customHeight="1">
      <c r="B13" s="146" t="s">
        <v>580</v>
      </c>
      <c r="C13" s="259"/>
    </row>
    <row r="14" spans="1:3" ht="20.100000000000001" customHeight="1">
      <c r="B14" s="147" t="s">
        <v>581</v>
      </c>
      <c r="C14" s="259"/>
    </row>
    <row r="15" spans="1:3" ht="20.100000000000001" customHeight="1">
      <c r="B15" s="147"/>
    </row>
    <row r="16" spans="1:3" ht="20.100000000000001" customHeight="1">
      <c r="B16" s="147" t="s">
        <v>582</v>
      </c>
      <c r="C16" s="259"/>
    </row>
    <row r="17" spans="2:3" ht="20.100000000000001" customHeight="1">
      <c r="B17" s="147" t="s">
        <v>583</v>
      </c>
      <c r="C17" s="259"/>
    </row>
    <row r="18" spans="2:3" ht="20.100000000000001" customHeight="1">
      <c r="B18" s="147" t="s">
        <v>584</v>
      </c>
      <c r="C18" s="259" t="s">
        <v>10</v>
      </c>
    </row>
    <row r="19" spans="2:3" ht="20.100000000000001" customHeight="1">
      <c r="B19" s="146"/>
    </row>
    <row r="20" spans="2:3" ht="20.100000000000001" customHeight="1">
      <c r="B20" s="146" t="s">
        <v>585</v>
      </c>
      <c r="C20" s="259"/>
    </row>
    <row r="21" spans="2:3" ht="20.100000000000001" customHeight="1">
      <c r="B21" s="146" t="s">
        <v>586</v>
      </c>
      <c r="C21" s="259"/>
    </row>
    <row r="22" spans="2:3">
      <c r="B22" s="9"/>
    </row>
    <row r="23" spans="2:3">
      <c r="B23" s="9"/>
    </row>
    <row r="24" spans="2:3">
      <c r="B24" s="9"/>
    </row>
    <row r="25" spans="2:3">
      <c r="B25" s="9"/>
    </row>
  </sheetData>
  <mergeCells count="2">
    <mergeCell ref="B6:C6"/>
    <mergeCell ref="B7:C7"/>
  </mergeCells>
  <phoneticPr fontId="10" type="noConversion"/>
  <printOptions horizontalCentered="1"/>
  <pageMargins left="0.75" right="0.75" top="1" bottom="1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1BDC1-CE35-4B71-B211-818FE0908D22}">
  <sheetPr>
    <pageSetUpPr fitToPage="1"/>
  </sheetPr>
  <dimension ref="A1:S33"/>
  <sheetViews>
    <sheetView workbookViewId="0"/>
  </sheetViews>
  <sheetFormatPr defaultRowHeight="12.75"/>
  <cols>
    <col min="1" max="1" width="4.42578125" style="307" customWidth="1"/>
    <col min="5" max="5" width="10" customWidth="1"/>
    <col min="9" max="9" width="48.7109375" customWidth="1"/>
  </cols>
  <sheetData>
    <row r="1" spans="1:19" ht="20.25">
      <c r="A1" s="306"/>
      <c r="B1" s="149"/>
      <c r="C1" s="154" t="s">
        <v>91</v>
      </c>
      <c r="D1" s="155"/>
      <c r="E1" s="155"/>
    </row>
    <row r="2" spans="1:19">
      <c r="A2" s="306"/>
      <c r="B2" s="148"/>
      <c r="C2" s="148"/>
    </row>
    <row r="3" spans="1:19" ht="13.5" thickBot="1"/>
    <row r="4" spans="1:19" ht="15.75">
      <c r="A4" s="617" t="s">
        <v>16</v>
      </c>
      <c r="B4" s="618"/>
      <c r="C4" s="618"/>
      <c r="D4" s="611" t="str">
        <f>Cover!C10</f>
        <v xml:space="preserve"> </v>
      </c>
      <c r="E4" s="611"/>
      <c r="F4" s="611"/>
      <c r="G4" s="611"/>
      <c r="H4" s="611"/>
      <c r="I4" s="612"/>
      <c r="O4" t="s">
        <v>10</v>
      </c>
    </row>
    <row r="5" spans="1:19">
      <c r="A5" s="522" t="s">
        <v>10</v>
      </c>
      <c r="B5" s="151"/>
      <c r="C5" s="151"/>
      <c r="D5" s="151"/>
      <c r="E5" s="151"/>
      <c r="F5" s="151"/>
      <c r="G5" s="151"/>
      <c r="H5" s="151" t="s">
        <v>10</v>
      </c>
      <c r="I5" s="152"/>
      <c r="O5" t="s">
        <v>10</v>
      </c>
    </row>
    <row r="6" spans="1:19" ht="15.75">
      <c r="A6" s="619" t="s">
        <v>219</v>
      </c>
      <c r="B6" s="620"/>
      <c r="C6" s="519"/>
      <c r="D6" s="613"/>
      <c r="E6" s="613"/>
      <c r="F6" s="613"/>
      <c r="G6" s="613"/>
      <c r="H6" s="613"/>
      <c r="I6" s="614"/>
    </row>
    <row r="7" spans="1:19" ht="13.15" customHeight="1">
      <c r="A7" s="518"/>
      <c r="B7" s="518"/>
      <c r="C7" s="519"/>
      <c r="D7" s="520"/>
      <c r="E7" s="520"/>
      <c r="F7" s="520"/>
      <c r="G7" s="520"/>
      <c r="H7" s="520"/>
      <c r="I7" s="521"/>
    </row>
    <row r="8" spans="1:19" ht="15.75">
      <c r="A8" s="619" t="s">
        <v>587</v>
      </c>
      <c r="B8" s="620"/>
      <c r="C8" s="151"/>
      <c r="D8" s="621" t="s">
        <v>10</v>
      </c>
      <c r="E8" s="621"/>
      <c r="F8" s="621"/>
      <c r="G8" s="621"/>
      <c r="H8" s="621"/>
      <c r="I8" s="622"/>
      <c r="O8" t="s">
        <v>10</v>
      </c>
    </row>
    <row r="9" spans="1:19" ht="13.15" customHeight="1">
      <c r="A9" s="309"/>
      <c r="B9" s="613"/>
      <c r="C9" s="613"/>
      <c r="D9" s="613"/>
      <c r="E9" s="613"/>
      <c r="F9" s="613"/>
      <c r="G9" s="613"/>
      <c r="H9" s="613"/>
      <c r="I9" s="614"/>
    </row>
    <row r="10" spans="1:19" ht="13.5" thickBot="1">
      <c r="A10" s="310" t="s">
        <v>88</v>
      </c>
      <c r="B10" s="150"/>
      <c r="C10" s="150"/>
      <c r="D10" s="615"/>
      <c r="E10" s="615"/>
      <c r="F10" s="615"/>
      <c r="G10" s="615"/>
      <c r="H10" s="615"/>
      <c r="I10" s="616"/>
    </row>
    <row r="11" spans="1:19">
      <c r="A11" s="308" t="s">
        <v>89</v>
      </c>
      <c r="B11" s="151"/>
      <c r="C11" s="151"/>
      <c r="D11" s="151"/>
      <c r="E11" s="151"/>
      <c r="F11" s="390" t="s">
        <v>90</v>
      </c>
      <c r="G11" s="390" t="s">
        <v>268</v>
      </c>
      <c r="H11" s="390" t="s">
        <v>1</v>
      </c>
      <c r="I11" s="152" t="s">
        <v>30</v>
      </c>
      <c r="J11" s="148"/>
      <c r="K11" s="148"/>
      <c r="L11" s="148"/>
      <c r="M11" s="148"/>
      <c r="N11" s="148"/>
      <c r="O11" s="148"/>
      <c r="P11" s="148"/>
      <c r="Q11" s="148"/>
      <c r="R11" s="148"/>
      <c r="S11" s="148"/>
    </row>
    <row r="12" spans="1:19">
      <c r="A12" s="308"/>
      <c r="B12" s="151"/>
      <c r="C12" s="151"/>
      <c r="D12" s="151"/>
      <c r="E12" s="151"/>
      <c r="F12" s="151"/>
      <c r="G12" s="151"/>
      <c r="H12" s="151"/>
      <c r="I12" s="152"/>
      <c r="J12" s="148"/>
      <c r="K12" s="148"/>
      <c r="L12" s="148"/>
      <c r="M12" s="148"/>
      <c r="N12" s="148"/>
      <c r="O12" s="148"/>
      <c r="P12" s="148"/>
      <c r="Q12" s="148"/>
      <c r="R12" s="148"/>
      <c r="S12" s="148"/>
    </row>
    <row r="13" spans="1:19" ht="25.5">
      <c r="A13" s="308" t="s">
        <v>310</v>
      </c>
      <c r="B13" s="151" t="s">
        <v>311</v>
      </c>
      <c r="C13" s="151"/>
      <c r="D13" s="151"/>
      <c r="E13" s="151"/>
      <c r="F13" s="315" t="s">
        <v>92</v>
      </c>
      <c r="G13" s="316"/>
      <c r="H13" s="316"/>
      <c r="I13" s="514" t="s">
        <v>456</v>
      </c>
      <c r="S13" s="148"/>
    </row>
    <row r="14" spans="1:19" ht="25.5">
      <c r="A14" s="308" t="s">
        <v>312</v>
      </c>
      <c r="B14" s="151" t="s">
        <v>313</v>
      </c>
      <c r="C14" s="151"/>
      <c r="D14" s="151"/>
      <c r="E14" s="151"/>
      <c r="F14" s="389"/>
      <c r="G14" s="316"/>
      <c r="H14" s="316"/>
      <c r="I14" s="515" t="s">
        <v>465</v>
      </c>
      <c r="S14" s="148"/>
    </row>
    <row r="15" spans="1:19" ht="25.5">
      <c r="A15" s="308" t="s">
        <v>314</v>
      </c>
      <c r="B15" s="151" t="s">
        <v>315</v>
      </c>
      <c r="C15" s="151"/>
      <c r="D15" s="151"/>
      <c r="E15" s="151"/>
      <c r="F15" s="389"/>
      <c r="G15" s="316"/>
      <c r="H15" s="316"/>
      <c r="I15" s="515" t="s">
        <v>457</v>
      </c>
      <c r="S15" s="148"/>
    </row>
    <row r="16" spans="1:19">
      <c r="A16" s="308" t="s">
        <v>316</v>
      </c>
      <c r="B16" s="151" t="s">
        <v>317</v>
      </c>
      <c r="C16" s="151"/>
      <c r="D16" s="151"/>
      <c r="E16" s="151"/>
      <c r="F16" s="389"/>
      <c r="G16" s="316"/>
      <c r="H16" s="316"/>
      <c r="I16" s="515" t="s">
        <v>458</v>
      </c>
      <c r="S16" s="148"/>
    </row>
    <row r="17" spans="1:19">
      <c r="A17" s="308" t="s">
        <v>318</v>
      </c>
      <c r="B17" s="151" t="s">
        <v>319</v>
      </c>
      <c r="C17" s="151"/>
      <c r="D17" s="151"/>
      <c r="E17" s="151"/>
      <c r="F17" s="315" t="s">
        <v>92</v>
      </c>
      <c r="G17" s="316"/>
      <c r="H17" s="316"/>
      <c r="I17" s="514" t="s">
        <v>459</v>
      </c>
      <c r="S17" s="148"/>
    </row>
    <row r="18" spans="1:19">
      <c r="A18" s="308" t="s">
        <v>320</v>
      </c>
      <c r="B18" s="151" t="s">
        <v>321</v>
      </c>
      <c r="C18" s="151"/>
      <c r="D18" s="151"/>
      <c r="E18" s="151"/>
      <c r="F18" s="315" t="s">
        <v>92</v>
      </c>
      <c r="G18" s="316"/>
      <c r="H18" s="316"/>
      <c r="I18" s="514" t="s">
        <v>459</v>
      </c>
      <c r="S18" s="148"/>
    </row>
    <row r="19" spans="1:19" ht="25.5">
      <c r="A19" s="308" t="s">
        <v>322</v>
      </c>
      <c r="B19" s="151" t="s">
        <v>46</v>
      </c>
      <c r="C19" s="151"/>
      <c r="D19" s="151"/>
      <c r="E19" s="151"/>
      <c r="F19" s="315" t="s">
        <v>92</v>
      </c>
      <c r="G19" s="316"/>
      <c r="H19" s="316"/>
      <c r="I19" s="514" t="s">
        <v>460</v>
      </c>
      <c r="S19" s="148"/>
    </row>
    <row r="20" spans="1:19" ht="25.5">
      <c r="A20" s="308" t="s">
        <v>323</v>
      </c>
      <c r="B20" s="151" t="s">
        <v>324</v>
      </c>
      <c r="C20" s="151"/>
      <c r="D20" s="151"/>
      <c r="E20" s="151"/>
      <c r="F20" s="315"/>
      <c r="G20" s="316"/>
      <c r="H20" s="316"/>
      <c r="I20" s="515" t="s">
        <v>466</v>
      </c>
      <c r="S20" s="148"/>
    </row>
    <row r="21" spans="1:19" ht="25.5">
      <c r="A21" s="308" t="s">
        <v>325</v>
      </c>
      <c r="B21" s="151" t="s">
        <v>213</v>
      </c>
      <c r="C21" s="151"/>
      <c r="D21" s="151"/>
      <c r="E21" s="151"/>
      <c r="F21" s="315" t="s">
        <v>92</v>
      </c>
      <c r="G21" s="316"/>
      <c r="H21" s="316"/>
      <c r="I21" s="514" t="s">
        <v>467</v>
      </c>
      <c r="S21" s="148"/>
    </row>
    <row r="22" spans="1:19" ht="38.25">
      <c r="A22" s="308" t="s">
        <v>326</v>
      </c>
      <c r="B22" s="151" t="s">
        <v>328</v>
      </c>
      <c r="C22" s="151"/>
      <c r="D22" s="151"/>
      <c r="E22" s="151"/>
      <c r="F22" s="315" t="s">
        <v>92</v>
      </c>
      <c r="G22" s="316"/>
      <c r="H22" s="316"/>
      <c r="I22" s="514" t="s">
        <v>461</v>
      </c>
      <c r="S22" s="148"/>
    </row>
    <row r="23" spans="1:19" ht="25.5">
      <c r="A23" s="308" t="s">
        <v>327</v>
      </c>
      <c r="B23" s="151" t="s">
        <v>329</v>
      </c>
      <c r="C23" s="151"/>
      <c r="D23" s="151"/>
      <c r="E23" s="151"/>
      <c r="F23" s="315"/>
      <c r="G23" s="316"/>
      <c r="H23" s="316"/>
      <c r="I23" s="515" t="s">
        <v>466</v>
      </c>
      <c r="S23" s="148"/>
    </row>
    <row r="24" spans="1:19">
      <c r="A24" s="308" t="s">
        <v>330</v>
      </c>
      <c r="B24" s="151" t="s">
        <v>331</v>
      </c>
      <c r="C24" s="151"/>
      <c r="D24" s="151"/>
      <c r="E24" s="151"/>
      <c r="F24" s="315" t="s">
        <v>92</v>
      </c>
      <c r="G24" s="316"/>
      <c r="H24" s="316"/>
      <c r="I24" s="514" t="s">
        <v>459</v>
      </c>
      <c r="S24" s="148"/>
    </row>
    <row r="25" spans="1:19" ht="25.5">
      <c r="A25" s="308" t="s">
        <v>332</v>
      </c>
      <c r="B25" s="151" t="s">
        <v>333</v>
      </c>
      <c r="C25" s="151"/>
      <c r="D25" s="151"/>
      <c r="E25" s="151"/>
      <c r="F25" s="315"/>
      <c r="G25" s="316"/>
      <c r="H25" s="316"/>
      <c r="I25" s="515" t="s">
        <v>462</v>
      </c>
      <c r="S25" s="148"/>
    </row>
    <row r="26" spans="1:19">
      <c r="A26" s="308" t="s">
        <v>334</v>
      </c>
      <c r="B26" s="151" t="s">
        <v>335</v>
      </c>
      <c r="C26" s="151"/>
      <c r="D26" s="151"/>
      <c r="E26" s="151"/>
      <c r="F26" s="315" t="s">
        <v>92</v>
      </c>
      <c r="G26" s="316"/>
      <c r="H26" s="316"/>
      <c r="I26" s="514" t="s">
        <v>463</v>
      </c>
      <c r="S26" s="148"/>
    </row>
    <row r="27" spans="1:19">
      <c r="A27" s="308" t="s">
        <v>336</v>
      </c>
      <c r="B27" s="151" t="s">
        <v>337</v>
      </c>
      <c r="C27" s="151"/>
      <c r="D27" s="151"/>
      <c r="E27" s="151"/>
      <c r="F27" s="315" t="s">
        <v>92</v>
      </c>
      <c r="G27" s="316"/>
      <c r="H27" s="316"/>
      <c r="I27" s="514" t="s">
        <v>468</v>
      </c>
      <c r="S27" s="148"/>
    </row>
    <row r="28" spans="1:19" ht="25.5">
      <c r="A28" s="308" t="s">
        <v>338</v>
      </c>
      <c r="B28" s="151" t="s">
        <v>339</v>
      </c>
      <c r="C28" s="151"/>
      <c r="D28" s="151"/>
      <c r="E28" s="151"/>
      <c r="F28" s="315"/>
      <c r="G28" s="316"/>
      <c r="H28" s="316"/>
      <c r="I28" s="515" t="s">
        <v>469</v>
      </c>
      <c r="S28" s="148"/>
    </row>
    <row r="29" spans="1:19" ht="25.5">
      <c r="A29" s="308" t="s">
        <v>340</v>
      </c>
      <c r="B29" s="151" t="s">
        <v>341</v>
      </c>
      <c r="C29" s="151"/>
      <c r="D29" s="151"/>
      <c r="E29" s="151"/>
      <c r="F29" s="315"/>
      <c r="G29" s="316"/>
      <c r="H29" s="316"/>
      <c r="I29" s="515" t="s">
        <v>464</v>
      </c>
      <c r="S29" s="148"/>
    </row>
    <row r="30" spans="1:19">
      <c r="A30" s="308" t="s">
        <v>342</v>
      </c>
      <c r="B30" s="151" t="s">
        <v>269</v>
      </c>
      <c r="C30" s="151"/>
      <c r="D30" s="151"/>
      <c r="E30" s="151"/>
      <c r="F30" s="315" t="s">
        <v>92</v>
      </c>
      <c r="G30" s="316"/>
      <c r="H30" s="316"/>
      <c r="I30" s="514" t="s">
        <v>459</v>
      </c>
      <c r="S30" s="148"/>
    </row>
    <row r="31" spans="1:19" ht="13.5" thickBot="1">
      <c r="A31" s="310"/>
      <c r="B31" s="150"/>
      <c r="C31" s="150"/>
      <c r="D31" s="150"/>
      <c r="E31" s="150"/>
      <c r="F31" s="150"/>
      <c r="G31" s="150"/>
      <c r="H31" s="150"/>
      <c r="I31" s="153"/>
      <c r="J31" s="148"/>
      <c r="K31" s="148"/>
      <c r="L31" s="148"/>
      <c r="M31" s="148"/>
      <c r="N31" s="148"/>
      <c r="O31" s="148"/>
      <c r="P31" s="148"/>
      <c r="Q31" s="148"/>
      <c r="R31" s="148"/>
      <c r="S31" s="148"/>
    </row>
    <row r="32" spans="1:19">
      <c r="A32" s="306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</row>
    <row r="33" spans="1:19">
      <c r="A33" s="306"/>
      <c r="B33" s="148"/>
      <c r="C33" s="148"/>
      <c r="D33" s="148"/>
      <c r="E33" s="148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</row>
  </sheetData>
  <mergeCells count="8">
    <mergeCell ref="D4:I4"/>
    <mergeCell ref="B9:I9"/>
    <mergeCell ref="D10:I10"/>
    <mergeCell ref="A4:C4"/>
    <mergeCell ref="A6:B6"/>
    <mergeCell ref="D6:I6"/>
    <mergeCell ref="A8:B8"/>
    <mergeCell ref="D8:I8"/>
  </mergeCells>
  <phoneticPr fontId="10" type="noConversion"/>
  <printOptions horizontalCentered="1"/>
  <pageMargins left="0.25" right="0.25" top="0.5" bottom="0.5" header="0.5" footer="0.5"/>
  <pageSetup scale="84" orientation="landscape" r:id="rId1"/>
  <headerFooter alignWithMargins="0"/>
  <ignoredErrors>
    <ignoredError sqref="A30 A13:A27 A28:A2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D4731-BAA3-4AE8-A2B3-5ABB4852EFAE}">
  <sheetPr codeName="Sheet8">
    <pageSetUpPr fitToPage="1"/>
  </sheetPr>
  <dimension ref="A1:M75"/>
  <sheetViews>
    <sheetView workbookViewId="0">
      <selection sqref="A1:B1"/>
    </sheetView>
  </sheetViews>
  <sheetFormatPr defaultRowHeight="12.75"/>
  <cols>
    <col min="1" max="1" width="3.28515625" style="3" customWidth="1"/>
    <col min="2" max="2" width="29.42578125" customWidth="1"/>
    <col min="4" max="10" width="4.85546875" customWidth="1"/>
    <col min="11" max="11" width="8.5703125" style="3" bestFit="1" customWidth="1"/>
    <col min="12" max="12" width="10.140625" style="3" customWidth="1"/>
    <col min="13" max="13" width="34.7109375" customWidth="1"/>
  </cols>
  <sheetData>
    <row r="1" spans="1:13" ht="41.45" customHeight="1">
      <c r="A1" s="625"/>
      <c r="B1" s="625"/>
      <c r="C1" s="626" t="s">
        <v>61</v>
      </c>
      <c r="D1" s="626"/>
      <c r="E1" s="626"/>
      <c r="F1" s="626"/>
      <c r="G1" s="626"/>
      <c r="H1" s="626"/>
      <c r="I1" s="626"/>
      <c r="J1" s="626"/>
      <c r="K1" s="626"/>
      <c r="L1" s="626"/>
      <c r="M1" s="626"/>
    </row>
    <row r="2" spans="1:13" ht="3.75" customHeight="1">
      <c r="A2" s="625"/>
      <c r="B2" s="625"/>
      <c r="C2" s="625"/>
      <c r="D2" s="625"/>
      <c r="E2" s="625"/>
      <c r="F2" s="625"/>
      <c r="G2" s="625"/>
      <c r="H2" s="625"/>
      <c r="I2" s="625"/>
      <c r="J2" s="625"/>
      <c r="K2" s="625"/>
      <c r="L2" s="625"/>
      <c r="M2" s="625"/>
    </row>
    <row r="3" spans="1:13" ht="18" customHeight="1">
      <c r="A3" s="627" t="s">
        <v>62</v>
      </c>
      <c r="B3" s="627"/>
      <c r="C3" s="627"/>
      <c r="D3" s="627"/>
      <c r="E3" s="627"/>
      <c r="F3" s="627"/>
      <c r="G3" s="627"/>
      <c r="H3" s="627"/>
      <c r="I3" s="627"/>
      <c r="J3" s="627"/>
      <c r="K3" s="627"/>
      <c r="L3" s="627"/>
      <c r="M3" s="134" t="s">
        <v>63</v>
      </c>
    </row>
    <row r="4" spans="1:13" ht="18" customHeight="1">
      <c r="A4" s="627" t="s">
        <v>64</v>
      </c>
      <c r="B4" s="627"/>
      <c r="C4" s="627"/>
      <c r="D4" s="627"/>
      <c r="E4" s="627"/>
      <c r="F4" s="627"/>
      <c r="G4" s="627"/>
      <c r="H4" s="627"/>
      <c r="I4" s="627"/>
      <c r="J4" s="627"/>
      <c r="K4" s="627"/>
      <c r="L4" s="627"/>
      <c r="M4" s="133" t="s">
        <v>65</v>
      </c>
    </row>
    <row r="5" spans="1:13" ht="3" customHeight="1" thickBot="1">
      <c r="A5" s="4"/>
      <c r="B5" s="4"/>
      <c r="C5" s="132"/>
      <c r="D5" s="132"/>
      <c r="E5" s="132"/>
      <c r="F5" s="132"/>
      <c r="G5" s="132"/>
      <c r="H5" s="132"/>
      <c r="I5" s="132"/>
      <c r="J5" s="132"/>
      <c r="K5" s="135"/>
      <c r="L5" s="135"/>
      <c r="M5" s="132"/>
    </row>
    <row r="6" spans="1:13" s="136" customFormat="1" ht="15" customHeight="1">
      <c r="A6" s="631" t="s">
        <v>66</v>
      </c>
      <c r="B6" s="633" t="s">
        <v>67</v>
      </c>
      <c r="C6" s="635" t="s">
        <v>68</v>
      </c>
      <c r="D6" s="628" t="s">
        <v>69</v>
      </c>
      <c r="E6" s="629"/>
      <c r="F6" s="629"/>
      <c r="G6" s="629"/>
      <c r="H6" s="629"/>
      <c r="I6" s="629"/>
      <c r="J6" s="630"/>
      <c r="K6" s="637" t="s">
        <v>70</v>
      </c>
      <c r="L6" s="639" t="s">
        <v>71</v>
      </c>
      <c r="M6" s="623" t="s">
        <v>30</v>
      </c>
    </row>
    <row r="7" spans="1:13" s="136" customFormat="1" ht="29.25" customHeight="1">
      <c r="A7" s="632"/>
      <c r="B7" s="634"/>
      <c r="C7" s="636"/>
      <c r="D7" s="137"/>
      <c r="E7" s="138"/>
      <c r="F7" s="138"/>
      <c r="G7" s="138"/>
      <c r="H7" s="138"/>
      <c r="I7" s="138"/>
      <c r="J7" s="139"/>
      <c r="K7" s="638"/>
      <c r="L7" s="640"/>
      <c r="M7" s="624"/>
    </row>
    <row r="8" spans="1:13" ht="24.95" customHeight="1">
      <c r="A8" s="523"/>
      <c r="B8" s="532"/>
      <c r="C8" s="536"/>
      <c r="D8" s="539"/>
      <c r="E8" s="540"/>
      <c r="F8" s="540"/>
      <c r="G8" s="540"/>
      <c r="H8" s="540"/>
      <c r="I8" s="540"/>
      <c r="J8" s="541"/>
      <c r="K8" s="524"/>
      <c r="L8" s="525"/>
      <c r="M8" s="548"/>
    </row>
    <row r="9" spans="1:13" ht="24.95" customHeight="1">
      <c r="A9" s="526"/>
      <c r="B9" s="533"/>
      <c r="C9" s="537"/>
      <c r="D9" s="542"/>
      <c r="E9" s="543"/>
      <c r="F9" s="543"/>
      <c r="G9" s="543"/>
      <c r="H9" s="543"/>
      <c r="I9" s="543"/>
      <c r="J9" s="544"/>
      <c r="K9" s="527"/>
      <c r="L9" s="528"/>
      <c r="M9" s="549"/>
    </row>
    <row r="10" spans="1:13" ht="24.95" customHeight="1">
      <c r="A10" s="526"/>
      <c r="B10" s="533"/>
      <c r="C10" s="537"/>
      <c r="D10" s="542"/>
      <c r="E10" s="543"/>
      <c r="F10" s="543"/>
      <c r="G10" s="543"/>
      <c r="H10" s="543"/>
      <c r="I10" s="543"/>
      <c r="J10" s="544"/>
      <c r="K10" s="527"/>
      <c r="L10" s="528"/>
      <c r="M10" s="549"/>
    </row>
    <row r="11" spans="1:13" ht="24.95" customHeight="1">
      <c r="A11" s="526"/>
      <c r="B11" s="533"/>
      <c r="C11" s="537"/>
      <c r="D11" s="542"/>
      <c r="E11" s="543"/>
      <c r="F11" s="543"/>
      <c r="G11" s="543"/>
      <c r="H11" s="543"/>
      <c r="I11" s="543"/>
      <c r="J11" s="544"/>
      <c r="K11" s="527"/>
      <c r="L11" s="528"/>
      <c r="M11" s="549"/>
    </row>
    <row r="12" spans="1:13" ht="24.95" customHeight="1">
      <c r="A12" s="526"/>
      <c r="B12" s="533"/>
      <c r="C12" s="537"/>
      <c r="D12" s="542"/>
      <c r="E12" s="543"/>
      <c r="F12" s="543"/>
      <c r="G12" s="543"/>
      <c r="H12" s="543"/>
      <c r="I12" s="543"/>
      <c r="J12" s="544"/>
      <c r="K12" s="527"/>
      <c r="L12" s="528"/>
      <c r="M12" s="549"/>
    </row>
    <row r="13" spans="1:13" ht="24.95" customHeight="1">
      <c r="A13" s="526"/>
      <c r="B13" s="533"/>
      <c r="C13" s="537"/>
      <c r="D13" s="542"/>
      <c r="E13" s="543"/>
      <c r="F13" s="543"/>
      <c r="G13" s="543"/>
      <c r="H13" s="543"/>
      <c r="I13" s="543"/>
      <c r="J13" s="544"/>
      <c r="K13" s="527"/>
      <c r="L13" s="528"/>
      <c r="M13" s="549"/>
    </row>
    <row r="14" spans="1:13" ht="24.95" customHeight="1">
      <c r="A14" s="526"/>
      <c r="B14" s="533"/>
      <c r="C14" s="537"/>
      <c r="D14" s="542"/>
      <c r="E14" s="543"/>
      <c r="F14" s="543"/>
      <c r="G14" s="543"/>
      <c r="H14" s="543"/>
      <c r="I14" s="543"/>
      <c r="J14" s="544"/>
      <c r="K14" s="527"/>
      <c r="L14" s="528"/>
      <c r="M14" s="549"/>
    </row>
    <row r="15" spans="1:13" ht="24.95" customHeight="1">
      <c r="A15" s="526"/>
      <c r="B15" s="533"/>
      <c r="C15" s="537"/>
      <c r="D15" s="542"/>
      <c r="E15" s="543"/>
      <c r="F15" s="543"/>
      <c r="G15" s="543"/>
      <c r="H15" s="543"/>
      <c r="I15" s="543"/>
      <c r="J15" s="544"/>
      <c r="K15" s="527"/>
      <c r="L15" s="528"/>
      <c r="M15" s="549"/>
    </row>
    <row r="16" spans="1:13" ht="24.95" customHeight="1">
      <c r="A16" s="526"/>
      <c r="B16" s="533"/>
      <c r="C16" s="537"/>
      <c r="D16" s="542"/>
      <c r="E16" s="543"/>
      <c r="F16" s="543"/>
      <c r="G16" s="543"/>
      <c r="H16" s="543"/>
      <c r="I16" s="543"/>
      <c r="J16" s="544"/>
      <c r="K16" s="527"/>
      <c r="L16" s="528"/>
      <c r="M16" s="549"/>
    </row>
    <row r="17" spans="1:13" ht="24.95" customHeight="1">
      <c r="A17" s="526"/>
      <c r="B17" s="533"/>
      <c r="C17" s="537"/>
      <c r="D17" s="542"/>
      <c r="E17" s="543"/>
      <c r="F17" s="543"/>
      <c r="G17" s="543"/>
      <c r="H17" s="543"/>
      <c r="I17" s="543"/>
      <c r="J17" s="544"/>
      <c r="K17" s="527"/>
      <c r="L17" s="528"/>
      <c r="M17" s="549"/>
    </row>
    <row r="18" spans="1:13" ht="24.95" customHeight="1">
      <c r="A18" s="526"/>
      <c r="B18" s="533"/>
      <c r="C18" s="537"/>
      <c r="D18" s="542"/>
      <c r="E18" s="543"/>
      <c r="F18" s="543"/>
      <c r="G18" s="543"/>
      <c r="H18" s="543"/>
      <c r="I18" s="543"/>
      <c r="J18" s="544"/>
      <c r="K18" s="527"/>
      <c r="L18" s="528"/>
      <c r="M18" s="549"/>
    </row>
    <row r="19" spans="1:13" ht="24.95" customHeight="1">
      <c r="A19" s="526"/>
      <c r="B19" s="533"/>
      <c r="C19" s="537"/>
      <c r="D19" s="542"/>
      <c r="E19" s="543"/>
      <c r="F19" s="543"/>
      <c r="G19" s="543"/>
      <c r="H19" s="543"/>
      <c r="I19" s="543"/>
      <c r="J19" s="544"/>
      <c r="K19" s="527"/>
      <c r="L19" s="528"/>
      <c r="M19" s="549"/>
    </row>
    <row r="20" spans="1:13" ht="24.95" customHeight="1">
      <c r="A20" s="526"/>
      <c r="B20" s="534"/>
      <c r="C20" s="537"/>
      <c r="D20" s="542"/>
      <c r="E20" s="543"/>
      <c r="F20" s="543"/>
      <c r="G20" s="543"/>
      <c r="H20" s="543"/>
      <c r="I20" s="543"/>
      <c r="J20" s="544"/>
      <c r="K20" s="527"/>
      <c r="L20" s="528"/>
      <c r="M20" s="549"/>
    </row>
    <row r="21" spans="1:13" ht="24.95" customHeight="1" thickBot="1">
      <c r="A21" s="529"/>
      <c r="B21" s="535"/>
      <c r="C21" s="538"/>
      <c r="D21" s="545"/>
      <c r="E21" s="546"/>
      <c r="F21" s="546"/>
      <c r="G21" s="546"/>
      <c r="H21" s="546"/>
      <c r="I21" s="546"/>
      <c r="J21" s="547"/>
      <c r="K21" s="530"/>
      <c r="L21" s="531"/>
      <c r="M21" s="550"/>
    </row>
    <row r="22" spans="1:13" ht="6" customHeight="1">
      <c r="L22" s="140"/>
    </row>
    <row r="23" spans="1:13">
      <c r="B23" t="s">
        <v>72</v>
      </c>
      <c r="D23" t="s">
        <v>73</v>
      </c>
      <c r="H23" t="s">
        <v>74</v>
      </c>
      <c r="L23" s="140"/>
      <c r="M23" t="s">
        <v>75</v>
      </c>
    </row>
    <row r="24" spans="1:13">
      <c r="D24" t="s">
        <v>76</v>
      </c>
      <c r="L24" s="140"/>
    </row>
    <row r="25" spans="1:13" ht="3" customHeight="1">
      <c r="L25" s="140"/>
    </row>
    <row r="26" spans="1:13" ht="18.75" customHeight="1">
      <c r="B26" s="141" t="s">
        <v>77</v>
      </c>
      <c r="L26" s="140"/>
    </row>
    <row r="27" spans="1:13">
      <c r="L27" s="140"/>
    </row>
    <row r="28" spans="1:13">
      <c r="L28" s="140"/>
    </row>
    <row r="29" spans="1:13">
      <c r="L29" s="140"/>
    </row>
    <row r="30" spans="1:13">
      <c r="L30" s="140"/>
    </row>
    <row r="31" spans="1:13">
      <c r="L31" s="140"/>
    </row>
    <row r="32" spans="1:13">
      <c r="L32" s="140"/>
    </row>
    <row r="33" spans="12:12">
      <c r="L33" s="140"/>
    </row>
    <row r="34" spans="12:12">
      <c r="L34" s="140"/>
    </row>
    <row r="35" spans="12:12">
      <c r="L35" s="140"/>
    </row>
    <row r="36" spans="12:12">
      <c r="L36" s="140"/>
    </row>
    <row r="37" spans="12:12">
      <c r="L37" s="140"/>
    </row>
    <row r="38" spans="12:12">
      <c r="L38" s="140"/>
    </row>
    <row r="39" spans="12:12">
      <c r="L39" s="140"/>
    </row>
    <row r="40" spans="12:12">
      <c r="L40" s="140"/>
    </row>
    <row r="41" spans="12:12">
      <c r="L41" s="140"/>
    </row>
    <row r="42" spans="12:12">
      <c r="L42" s="140"/>
    </row>
    <row r="43" spans="12:12">
      <c r="L43" s="140"/>
    </row>
    <row r="44" spans="12:12">
      <c r="L44" s="140"/>
    </row>
    <row r="45" spans="12:12">
      <c r="L45" s="140"/>
    </row>
    <row r="46" spans="12:12">
      <c r="L46" s="140"/>
    </row>
    <row r="47" spans="12:12">
      <c r="L47" s="140"/>
    </row>
    <row r="48" spans="12:12">
      <c r="L48" s="140"/>
    </row>
    <row r="49" spans="12:12">
      <c r="L49" s="140"/>
    </row>
    <row r="50" spans="12:12">
      <c r="L50" s="140"/>
    </row>
    <row r="51" spans="12:12">
      <c r="L51" s="140"/>
    </row>
    <row r="52" spans="12:12">
      <c r="L52" s="140"/>
    </row>
    <row r="53" spans="12:12">
      <c r="L53" s="140"/>
    </row>
    <row r="54" spans="12:12">
      <c r="L54" s="140"/>
    </row>
    <row r="55" spans="12:12">
      <c r="L55" s="140"/>
    </row>
    <row r="56" spans="12:12">
      <c r="L56" s="142"/>
    </row>
    <row r="57" spans="12:12">
      <c r="L57" s="142"/>
    </row>
    <row r="58" spans="12:12">
      <c r="L58" s="142"/>
    </row>
    <row r="59" spans="12:12">
      <c r="L59" s="142"/>
    </row>
    <row r="60" spans="12:12">
      <c r="L60" s="142"/>
    </row>
    <row r="61" spans="12:12">
      <c r="L61" s="142"/>
    </row>
    <row r="62" spans="12:12">
      <c r="L62" s="142"/>
    </row>
    <row r="63" spans="12:12">
      <c r="L63" s="142"/>
    </row>
    <row r="64" spans="12:12">
      <c r="L64" s="142"/>
    </row>
    <row r="65" spans="12:12">
      <c r="L65" s="142"/>
    </row>
    <row r="66" spans="12:12">
      <c r="L66" s="142"/>
    </row>
    <row r="67" spans="12:12">
      <c r="L67" s="142"/>
    </row>
    <row r="68" spans="12:12">
      <c r="L68" s="142"/>
    </row>
    <row r="69" spans="12:12">
      <c r="L69" s="142"/>
    </row>
    <row r="70" spans="12:12">
      <c r="L70" s="142"/>
    </row>
    <row r="71" spans="12:12">
      <c r="L71" s="142"/>
    </row>
    <row r="72" spans="12:12">
      <c r="L72" s="142"/>
    </row>
    <row r="73" spans="12:12">
      <c r="L73" s="142"/>
    </row>
    <row r="74" spans="12:12">
      <c r="L74" s="142"/>
    </row>
    <row r="75" spans="12:12">
      <c r="L75" s="142"/>
    </row>
  </sheetData>
  <mergeCells count="12">
    <mergeCell ref="K6:K7"/>
    <mergeCell ref="L6:L7"/>
    <mergeCell ref="M6:M7"/>
    <mergeCell ref="A1:B1"/>
    <mergeCell ref="C1:M1"/>
    <mergeCell ref="A2:M2"/>
    <mergeCell ref="A3:L3"/>
    <mergeCell ref="D6:J6"/>
    <mergeCell ref="A4:L4"/>
    <mergeCell ref="A6:A7"/>
    <mergeCell ref="B6:B7"/>
    <mergeCell ref="C6:C7"/>
  </mergeCells>
  <phoneticPr fontId="10" type="noConversion"/>
  <pageMargins left="0.5" right="0.5" top="0.25" bottom="0.35" header="0.25" footer="0.35"/>
  <pageSetup fitToHeight="0" orientation="landscape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FAA0B-2A63-498E-AD17-2AB0C99E9060}">
  <sheetPr codeName="Sheet2">
    <pageSetUpPr fitToPage="1"/>
  </sheetPr>
  <dimension ref="A1:AJ109"/>
  <sheetViews>
    <sheetView zoomScaleNormal="100" workbookViewId="0">
      <selection sqref="A1:AH1"/>
    </sheetView>
  </sheetViews>
  <sheetFormatPr defaultRowHeight="12.75"/>
  <cols>
    <col min="1" max="25" width="4" customWidth="1"/>
    <col min="26" max="28" width="10.7109375" customWidth="1"/>
    <col min="29" max="29" width="4" customWidth="1"/>
    <col min="30" max="30" width="9.7109375" customWidth="1"/>
    <col min="31" max="34" width="4" customWidth="1"/>
    <col min="36" max="38" width="10.7109375" customWidth="1"/>
  </cols>
  <sheetData>
    <row r="1" spans="1:34">
      <c r="A1" s="656" t="s">
        <v>347</v>
      </c>
      <c r="B1" s="656"/>
      <c r="C1" s="656"/>
      <c r="D1" s="656"/>
      <c r="E1" s="656"/>
      <c r="F1" s="656"/>
      <c r="G1" s="656"/>
      <c r="H1" s="656"/>
      <c r="I1" s="656"/>
      <c r="J1" s="656"/>
      <c r="K1" s="656"/>
      <c r="L1" s="656"/>
      <c r="M1" s="656"/>
      <c r="N1" s="656"/>
      <c r="O1" s="656"/>
      <c r="P1" s="656"/>
      <c r="Q1" s="656"/>
      <c r="R1" s="656"/>
      <c r="S1" s="656"/>
      <c r="T1" s="656"/>
      <c r="U1" s="656"/>
      <c r="V1" s="656"/>
      <c r="W1" s="656"/>
      <c r="X1" s="656"/>
      <c r="Y1" s="656"/>
      <c r="Z1" s="656"/>
      <c r="AA1" s="656"/>
      <c r="AB1" s="656"/>
      <c r="AC1" s="656"/>
      <c r="AD1" s="656"/>
      <c r="AE1" s="656"/>
      <c r="AF1" s="656"/>
      <c r="AG1" s="656"/>
      <c r="AH1" s="656"/>
    </row>
    <row r="2" spans="1:34">
      <c r="A2" s="657" t="s">
        <v>348</v>
      </c>
      <c r="B2" s="657"/>
      <c r="C2" s="657"/>
      <c r="D2" s="657"/>
      <c r="E2" s="657"/>
      <c r="F2" s="657"/>
      <c r="G2" s="657"/>
      <c r="H2" s="657"/>
      <c r="I2" s="657"/>
      <c r="J2" s="657"/>
      <c r="K2" s="657"/>
      <c r="L2" s="657"/>
      <c r="M2" s="657"/>
      <c r="N2" s="657"/>
      <c r="O2" s="657"/>
      <c r="P2" s="657"/>
      <c r="Q2" s="657"/>
      <c r="R2" s="657"/>
      <c r="S2" s="657"/>
      <c r="T2" s="657"/>
      <c r="U2" s="657"/>
      <c r="V2" s="657"/>
      <c r="W2" s="657"/>
      <c r="X2" s="657"/>
      <c r="Y2" s="657"/>
      <c r="Z2" s="657"/>
      <c r="AA2" s="657"/>
      <c r="AB2" s="657"/>
      <c r="AC2" s="657"/>
      <c r="AD2" s="657"/>
      <c r="AE2" s="657"/>
      <c r="AF2" s="657"/>
      <c r="AG2" s="657"/>
      <c r="AH2" s="657"/>
    </row>
    <row r="3" spans="1:34">
      <c r="A3" s="657" t="s">
        <v>349</v>
      </c>
      <c r="B3" s="657"/>
      <c r="C3" s="657"/>
      <c r="D3" s="657"/>
      <c r="E3" s="657"/>
      <c r="F3" s="657"/>
      <c r="G3" s="657"/>
      <c r="H3" s="657"/>
      <c r="I3" s="657"/>
      <c r="J3" s="657"/>
      <c r="K3" s="657"/>
      <c r="L3" s="657"/>
      <c r="M3" s="657"/>
      <c r="N3" s="657"/>
      <c r="O3" s="657"/>
      <c r="P3" s="657"/>
      <c r="Q3" s="657"/>
      <c r="R3" s="657"/>
      <c r="S3" s="657"/>
      <c r="T3" s="657"/>
      <c r="U3" s="657"/>
      <c r="V3" s="657"/>
      <c r="W3" s="657"/>
      <c r="X3" s="657"/>
      <c r="Y3" s="657"/>
      <c r="Z3" s="657"/>
      <c r="AA3" s="657"/>
      <c r="AB3" s="657"/>
      <c r="AC3" s="657"/>
      <c r="AD3" s="657"/>
      <c r="AE3" s="657"/>
      <c r="AF3" s="657"/>
      <c r="AG3" s="657"/>
      <c r="AH3" s="657"/>
    </row>
    <row r="4" spans="1:34">
      <c r="A4" s="109"/>
      <c r="B4" s="311"/>
      <c r="C4" s="311"/>
      <c r="D4" s="311"/>
      <c r="E4" s="109"/>
      <c r="F4" s="104"/>
      <c r="G4" s="104"/>
      <c r="H4" s="104"/>
      <c r="I4" s="104"/>
      <c r="J4" s="104"/>
      <c r="K4" s="115"/>
      <c r="L4" s="115"/>
      <c r="M4" s="254"/>
      <c r="N4" s="254"/>
      <c r="O4" s="3"/>
      <c r="P4" s="3"/>
      <c r="Q4" s="3"/>
      <c r="R4" s="3"/>
      <c r="S4" s="3"/>
      <c r="T4" s="3"/>
      <c r="U4" s="3"/>
      <c r="V4" s="3"/>
      <c r="W4" s="3"/>
      <c r="X4" s="104"/>
      <c r="Y4" s="104"/>
      <c r="Z4" s="104"/>
      <c r="AA4" s="104"/>
      <c r="AB4" s="311"/>
      <c r="AC4" s="115"/>
      <c r="AD4" s="111"/>
      <c r="AE4" s="111"/>
      <c r="AF4" s="111"/>
      <c r="AG4" s="111"/>
      <c r="AH4" s="111"/>
    </row>
    <row r="5" spans="1:34">
      <c r="A5" s="104" t="s">
        <v>37</v>
      </c>
      <c r="B5" s="104"/>
      <c r="C5" s="109"/>
      <c r="D5" s="653"/>
      <c r="E5" s="654"/>
      <c r="F5" s="654"/>
      <c r="G5" s="654"/>
      <c r="H5" s="654"/>
      <c r="I5" s="654"/>
      <c r="J5" s="654"/>
      <c r="K5" s="104"/>
      <c r="L5" s="104"/>
      <c r="M5" s="104" t="s">
        <v>345</v>
      </c>
      <c r="O5" s="4"/>
      <c r="P5" s="4"/>
      <c r="Q5" s="654"/>
      <c r="R5" s="654"/>
      <c r="S5" s="654"/>
      <c r="T5" s="654"/>
      <c r="U5" s="654"/>
      <c r="V5" s="654"/>
      <c r="W5" s="654"/>
      <c r="X5" s="104"/>
      <c r="Y5" s="104"/>
      <c r="Z5" s="110" t="s">
        <v>2</v>
      </c>
      <c r="AA5" s="110"/>
      <c r="AB5" s="658"/>
      <c r="AC5" s="658"/>
      <c r="AD5" s="4"/>
      <c r="AE5" s="111"/>
      <c r="AF5" s="111"/>
      <c r="AG5" s="111"/>
      <c r="AH5" s="111"/>
    </row>
    <row r="6" spans="1:34">
      <c r="A6" s="109" t="s">
        <v>346</v>
      </c>
      <c r="B6" s="109"/>
      <c r="C6" s="109"/>
      <c r="D6" s="110"/>
      <c r="E6" s="110"/>
      <c r="F6" s="651"/>
      <c r="G6" s="652"/>
      <c r="H6" s="652"/>
      <c r="I6" s="652"/>
      <c r="J6" s="652"/>
      <c r="K6" s="104"/>
      <c r="L6" s="104"/>
      <c r="M6" s="104" t="s">
        <v>4</v>
      </c>
      <c r="N6" s="104"/>
      <c r="O6" s="110"/>
      <c r="P6" s="313"/>
      <c r="Q6" s="652"/>
      <c r="R6" s="652"/>
      <c r="S6" s="652"/>
      <c r="T6" s="652"/>
      <c r="U6" s="652"/>
      <c r="V6" s="652"/>
      <c r="W6" s="652"/>
      <c r="X6" s="104"/>
      <c r="Y6" s="104"/>
      <c r="Z6" s="104" t="s">
        <v>38</v>
      </c>
      <c r="AA6" s="104"/>
      <c r="AB6" s="653"/>
      <c r="AC6" s="654"/>
      <c r="AD6" s="654"/>
      <c r="AE6" s="654"/>
      <c r="AF6" s="654"/>
      <c r="AG6" s="654"/>
      <c r="AH6" s="654"/>
    </row>
    <row r="7" spans="1:34">
      <c r="A7" s="104" t="s">
        <v>12</v>
      </c>
      <c r="B7" s="104"/>
      <c r="C7" s="653"/>
      <c r="D7" s="654"/>
      <c r="E7" s="654"/>
      <c r="F7" s="654"/>
      <c r="G7" s="654"/>
      <c r="H7" s="654"/>
      <c r="I7" s="654"/>
      <c r="J7" s="654"/>
      <c r="K7" s="104"/>
      <c r="L7" s="104"/>
      <c r="M7" s="104" t="s">
        <v>39</v>
      </c>
      <c r="N7" s="111"/>
      <c r="O7" s="111"/>
      <c r="P7" s="111"/>
      <c r="Q7" s="652"/>
      <c r="R7" s="652"/>
      <c r="S7" s="652"/>
      <c r="T7" s="652"/>
      <c r="U7" s="652"/>
      <c r="V7" s="652"/>
      <c r="W7" s="652"/>
      <c r="X7" s="104"/>
      <c r="Y7" s="104"/>
      <c r="Z7" s="104" t="s">
        <v>343</v>
      </c>
      <c r="AA7" s="104"/>
      <c r="AB7" s="312"/>
      <c r="AC7" s="662" t="s">
        <v>344</v>
      </c>
      <c r="AD7" s="663"/>
      <c r="AE7" s="664"/>
      <c r="AF7" s="664"/>
      <c r="AG7" s="664"/>
      <c r="AH7" s="664"/>
    </row>
    <row r="8" spans="1:34" ht="29.25" customHeight="1" thickBot="1">
      <c r="A8" s="104"/>
      <c r="B8" s="104"/>
      <c r="C8" s="104"/>
      <c r="D8" s="104"/>
      <c r="E8" s="104"/>
      <c r="F8" s="104"/>
      <c r="G8" s="104"/>
      <c r="H8" s="104"/>
      <c r="I8" s="104"/>
      <c r="J8" s="104"/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</row>
    <row r="9" spans="1:34" ht="12" customHeight="1">
      <c r="A9" s="674" t="s">
        <v>40</v>
      </c>
      <c r="B9" s="675"/>
      <c r="C9" s="675"/>
      <c r="D9" s="675" t="s">
        <v>41</v>
      </c>
      <c r="E9" s="675"/>
      <c r="F9" s="675"/>
      <c r="G9" s="678" t="s">
        <v>78</v>
      </c>
      <c r="H9" s="679"/>
      <c r="I9" s="680"/>
      <c r="J9" s="684" t="s">
        <v>82</v>
      </c>
      <c r="K9" s="684" t="s">
        <v>6</v>
      </c>
      <c r="L9" s="678" t="s">
        <v>79</v>
      </c>
      <c r="M9" s="679"/>
      <c r="N9" s="680"/>
      <c r="O9" s="686" t="s">
        <v>81</v>
      </c>
      <c r="P9" s="678" t="s">
        <v>307</v>
      </c>
      <c r="Q9" s="679"/>
      <c r="R9" s="680"/>
      <c r="S9" s="678" t="s">
        <v>308</v>
      </c>
      <c r="T9" s="679"/>
      <c r="U9" s="680"/>
      <c r="V9" s="684" t="s">
        <v>80</v>
      </c>
      <c r="W9" s="684" t="s">
        <v>42</v>
      </c>
      <c r="X9" s="678" t="s">
        <v>43</v>
      </c>
      <c r="Y9" s="679"/>
      <c r="Z9" s="680"/>
      <c r="AA9" s="678" t="s">
        <v>44</v>
      </c>
      <c r="AB9" s="679"/>
      <c r="AC9" s="680"/>
      <c r="AD9" s="688" t="s">
        <v>3</v>
      </c>
      <c r="AE9" s="688"/>
      <c r="AF9" s="688"/>
      <c r="AG9" s="688"/>
      <c r="AH9" s="689"/>
    </row>
    <row r="10" spans="1:34" ht="28.5" customHeight="1" thickBot="1">
      <c r="A10" s="676"/>
      <c r="B10" s="677"/>
      <c r="C10" s="677"/>
      <c r="D10" s="677"/>
      <c r="E10" s="677"/>
      <c r="F10" s="677"/>
      <c r="G10" s="681"/>
      <c r="H10" s="682"/>
      <c r="I10" s="683"/>
      <c r="J10" s="685"/>
      <c r="K10" s="685"/>
      <c r="L10" s="681"/>
      <c r="M10" s="682"/>
      <c r="N10" s="683"/>
      <c r="O10" s="687"/>
      <c r="P10" s="681"/>
      <c r="Q10" s="682"/>
      <c r="R10" s="683"/>
      <c r="S10" s="681"/>
      <c r="T10" s="682"/>
      <c r="U10" s="683"/>
      <c r="V10" s="685"/>
      <c r="W10" s="685"/>
      <c r="X10" s="681"/>
      <c r="Y10" s="682"/>
      <c r="Z10" s="683"/>
      <c r="AA10" s="681"/>
      <c r="AB10" s="682"/>
      <c r="AC10" s="683"/>
      <c r="AD10" s="112" t="s">
        <v>45</v>
      </c>
      <c r="AE10" s="113" t="s">
        <v>82</v>
      </c>
      <c r="AF10" s="113" t="s">
        <v>81</v>
      </c>
      <c r="AG10" s="113" t="s">
        <v>83</v>
      </c>
      <c r="AH10" s="114" t="s">
        <v>42</v>
      </c>
    </row>
    <row r="11" spans="1:34">
      <c r="A11" s="670"/>
      <c r="B11" s="670"/>
      <c r="C11" s="670"/>
      <c r="D11" s="670"/>
      <c r="E11" s="670"/>
      <c r="F11" s="670"/>
      <c r="G11" s="670"/>
      <c r="H11" s="670"/>
      <c r="I11" s="670"/>
      <c r="J11" s="552">
        <v>0</v>
      </c>
      <c r="K11" s="552"/>
      <c r="L11" s="671"/>
      <c r="M11" s="672"/>
      <c r="N11" s="673"/>
      <c r="O11" s="554">
        <v>0</v>
      </c>
      <c r="P11" s="667"/>
      <c r="Q11" s="668"/>
      <c r="R11" s="669"/>
      <c r="S11" s="672"/>
      <c r="T11" s="672"/>
      <c r="U11" s="673"/>
      <c r="V11" s="552">
        <v>0</v>
      </c>
      <c r="W11" s="552">
        <f>SUM(J11*O11*V11)</f>
        <v>0</v>
      </c>
      <c r="X11" s="671"/>
      <c r="Y11" s="672"/>
      <c r="Z11" s="673"/>
      <c r="AA11" s="671"/>
      <c r="AB11" s="672"/>
      <c r="AC11" s="673"/>
      <c r="AD11" s="551"/>
      <c r="AE11" s="552">
        <v>0</v>
      </c>
      <c r="AF11" s="552">
        <v>0</v>
      </c>
      <c r="AG11" s="552">
        <v>0</v>
      </c>
      <c r="AH11" s="552">
        <f>SUM(AE11*AF11*AG11)</f>
        <v>0</v>
      </c>
    </row>
    <row r="12" spans="1:34">
      <c r="A12" s="655"/>
      <c r="B12" s="655"/>
      <c r="C12" s="655"/>
      <c r="D12" s="655"/>
      <c r="E12" s="655"/>
      <c r="F12" s="655"/>
      <c r="G12" s="655"/>
      <c r="H12" s="655"/>
      <c r="I12" s="655"/>
      <c r="J12" s="553">
        <v>0</v>
      </c>
      <c r="K12" s="553"/>
      <c r="L12" s="659"/>
      <c r="M12" s="665"/>
      <c r="N12" s="666"/>
      <c r="O12" s="553">
        <v>0</v>
      </c>
      <c r="P12" s="659"/>
      <c r="Q12" s="660"/>
      <c r="R12" s="661"/>
      <c r="S12" s="665"/>
      <c r="T12" s="665"/>
      <c r="U12" s="666"/>
      <c r="V12" s="553">
        <v>0</v>
      </c>
      <c r="W12" s="553">
        <f t="shared" ref="W12:W26" si="0">SUM(J12*O12*V12)</f>
        <v>0</v>
      </c>
      <c r="X12" s="659"/>
      <c r="Y12" s="665"/>
      <c r="Z12" s="666"/>
      <c r="AA12" s="659"/>
      <c r="AB12" s="665"/>
      <c r="AC12" s="666"/>
      <c r="AD12" s="516"/>
      <c r="AE12" s="553">
        <v>0</v>
      </c>
      <c r="AF12" s="553">
        <v>0</v>
      </c>
      <c r="AG12" s="553">
        <v>0</v>
      </c>
      <c r="AH12" s="553">
        <f t="shared" ref="AH12:AH26" si="1">SUM(AE12*AF12*AG12)</f>
        <v>0</v>
      </c>
    </row>
    <row r="13" spans="1:34">
      <c r="A13" s="655"/>
      <c r="B13" s="655"/>
      <c r="C13" s="655"/>
      <c r="D13" s="655"/>
      <c r="E13" s="655"/>
      <c r="F13" s="655"/>
      <c r="G13" s="655"/>
      <c r="H13" s="655"/>
      <c r="I13" s="655"/>
      <c r="J13" s="553">
        <v>0</v>
      </c>
      <c r="K13" s="553"/>
      <c r="L13" s="659"/>
      <c r="M13" s="665"/>
      <c r="N13" s="666"/>
      <c r="O13" s="553">
        <v>0</v>
      </c>
      <c r="P13" s="659"/>
      <c r="Q13" s="660"/>
      <c r="R13" s="661"/>
      <c r="S13" s="665"/>
      <c r="T13" s="665"/>
      <c r="U13" s="666"/>
      <c r="V13" s="553">
        <v>0</v>
      </c>
      <c r="W13" s="553">
        <f t="shared" si="0"/>
        <v>0</v>
      </c>
      <c r="X13" s="659"/>
      <c r="Y13" s="665"/>
      <c r="Z13" s="666"/>
      <c r="AA13" s="659"/>
      <c r="AB13" s="665"/>
      <c r="AC13" s="666"/>
      <c r="AD13" s="516"/>
      <c r="AE13" s="553">
        <v>0</v>
      </c>
      <c r="AF13" s="553">
        <v>0</v>
      </c>
      <c r="AG13" s="553">
        <v>0</v>
      </c>
      <c r="AH13" s="553">
        <f t="shared" si="1"/>
        <v>0</v>
      </c>
    </row>
    <row r="14" spans="1:34">
      <c r="A14" s="655"/>
      <c r="B14" s="655"/>
      <c r="C14" s="655"/>
      <c r="D14" s="655"/>
      <c r="E14" s="655"/>
      <c r="F14" s="655"/>
      <c r="G14" s="655"/>
      <c r="H14" s="655"/>
      <c r="I14" s="655"/>
      <c r="J14" s="553">
        <v>0</v>
      </c>
      <c r="K14" s="553"/>
      <c r="L14" s="659"/>
      <c r="M14" s="665"/>
      <c r="N14" s="666"/>
      <c r="O14" s="553">
        <v>0</v>
      </c>
      <c r="P14" s="659"/>
      <c r="Q14" s="660"/>
      <c r="R14" s="661"/>
      <c r="S14" s="665"/>
      <c r="T14" s="665"/>
      <c r="U14" s="666"/>
      <c r="V14" s="553">
        <v>0</v>
      </c>
      <c r="W14" s="553">
        <f t="shared" si="0"/>
        <v>0</v>
      </c>
      <c r="X14" s="659"/>
      <c r="Y14" s="665"/>
      <c r="Z14" s="666"/>
      <c r="AA14" s="659"/>
      <c r="AB14" s="665"/>
      <c r="AC14" s="666"/>
      <c r="AD14" s="516"/>
      <c r="AE14" s="553">
        <v>0</v>
      </c>
      <c r="AF14" s="553">
        <v>0</v>
      </c>
      <c r="AG14" s="553">
        <v>0</v>
      </c>
      <c r="AH14" s="553">
        <f t="shared" si="1"/>
        <v>0</v>
      </c>
    </row>
    <row r="15" spans="1:34">
      <c r="A15" s="655"/>
      <c r="B15" s="655"/>
      <c r="C15" s="655"/>
      <c r="D15" s="655"/>
      <c r="E15" s="655"/>
      <c r="F15" s="655"/>
      <c r="G15" s="655"/>
      <c r="H15" s="655"/>
      <c r="I15" s="655"/>
      <c r="J15" s="553">
        <v>0</v>
      </c>
      <c r="K15" s="553"/>
      <c r="L15" s="659"/>
      <c r="M15" s="665"/>
      <c r="N15" s="666"/>
      <c r="O15" s="553">
        <v>0</v>
      </c>
      <c r="P15" s="659"/>
      <c r="Q15" s="660"/>
      <c r="R15" s="661"/>
      <c r="S15" s="665"/>
      <c r="T15" s="665"/>
      <c r="U15" s="666"/>
      <c r="V15" s="553">
        <v>0</v>
      </c>
      <c r="W15" s="553">
        <f t="shared" si="0"/>
        <v>0</v>
      </c>
      <c r="X15" s="659"/>
      <c r="Y15" s="665"/>
      <c r="Z15" s="666"/>
      <c r="AA15" s="659"/>
      <c r="AB15" s="665"/>
      <c r="AC15" s="666"/>
      <c r="AD15" s="516"/>
      <c r="AE15" s="553">
        <v>0</v>
      </c>
      <c r="AF15" s="553">
        <v>0</v>
      </c>
      <c r="AG15" s="553">
        <v>0</v>
      </c>
      <c r="AH15" s="553">
        <f t="shared" si="1"/>
        <v>0</v>
      </c>
    </row>
    <row r="16" spans="1:34">
      <c r="A16" s="655"/>
      <c r="B16" s="655"/>
      <c r="C16" s="655"/>
      <c r="D16" s="655"/>
      <c r="E16" s="655"/>
      <c r="F16" s="655"/>
      <c r="G16" s="655"/>
      <c r="H16" s="655"/>
      <c r="I16" s="655"/>
      <c r="J16" s="553">
        <v>0</v>
      </c>
      <c r="K16" s="553"/>
      <c r="L16" s="659"/>
      <c r="M16" s="665"/>
      <c r="N16" s="666"/>
      <c r="O16" s="553">
        <v>0</v>
      </c>
      <c r="P16" s="659"/>
      <c r="Q16" s="660"/>
      <c r="R16" s="661"/>
      <c r="S16" s="665"/>
      <c r="T16" s="665"/>
      <c r="U16" s="666"/>
      <c r="V16" s="553">
        <v>0</v>
      </c>
      <c r="W16" s="553">
        <f t="shared" si="0"/>
        <v>0</v>
      </c>
      <c r="X16" s="659"/>
      <c r="Y16" s="665"/>
      <c r="Z16" s="666"/>
      <c r="AA16" s="659"/>
      <c r="AB16" s="665"/>
      <c r="AC16" s="666"/>
      <c r="AD16" s="516"/>
      <c r="AE16" s="553">
        <v>0</v>
      </c>
      <c r="AF16" s="553">
        <v>0</v>
      </c>
      <c r="AG16" s="553">
        <v>0</v>
      </c>
      <c r="AH16" s="553">
        <f t="shared" si="1"/>
        <v>0</v>
      </c>
    </row>
    <row r="17" spans="1:34">
      <c r="A17" s="655"/>
      <c r="B17" s="655"/>
      <c r="C17" s="655"/>
      <c r="D17" s="655"/>
      <c r="E17" s="655"/>
      <c r="F17" s="655"/>
      <c r="G17" s="655"/>
      <c r="H17" s="655"/>
      <c r="I17" s="655"/>
      <c r="J17" s="553">
        <v>0</v>
      </c>
      <c r="K17" s="553"/>
      <c r="L17" s="659"/>
      <c r="M17" s="665"/>
      <c r="N17" s="666"/>
      <c r="O17" s="553">
        <v>0</v>
      </c>
      <c r="P17" s="659"/>
      <c r="Q17" s="660"/>
      <c r="R17" s="661"/>
      <c r="S17" s="665"/>
      <c r="T17" s="665"/>
      <c r="U17" s="666"/>
      <c r="V17" s="553">
        <v>0</v>
      </c>
      <c r="W17" s="553">
        <f t="shared" ref="W17:W23" si="2">SUM(J17*O17*V17)</f>
        <v>0</v>
      </c>
      <c r="X17" s="659"/>
      <c r="Y17" s="665"/>
      <c r="Z17" s="666"/>
      <c r="AA17" s="659"/>
      <c r="AB17" s="665"/>
      <c r="AC17" s="666"/>
      <c r="AD17" s="516"/>
      <c r="AE17" s="553">
        <v>0</v>
      </c>
      <c r="AF17" s="553">
        <v>0</v>
      </c>
      <c r="AG17" s="553">
        <v>0</v>
      </c>
      <c r="AH17" s="553">
        <f t="shared" ref="AH17:AH23" si="3">SUM(AE17*AF17*AG17)</f>
        <v>0</v>
      </c>
    </row>
    <row r="18" spans="1:34">
      <c r="A18" s="655"/>
      <c r="B18" s="655"/>
      <c r="C18" s="655"/>
      <c r="D18" s="655"/>
      <c r="E18" s="655"/>
      <c r="F18" s="655"/>
      <c r="G18" s="655"/>
      <c r="H18" s="655"/>
      <c r="I18" s="655"/>
      <c r="J18" s="553">
        <v>0</v>
      </c>
      <c r="K18" s="553"/>
      <c r="L18" s="659"/>
      <c r="M18" s="665"/>
      <c r="N18" s="666"/>
      <c r="O18" s="553">
        <v>0</v>
      </c>
      <c r="P18" s="659"/>
      <c r="Q18" s="660"/>
      <c r="R18" s="661"/>
      <c r="S18" s="665"/>
      <c r="T18" s="665"/>
      <c r="U18" s="666"/>
      <c r="V18" s="553">
        <v>0</v>
      </c>
      <c r="W18" s="553">
        <f t="shared" si="2"/>
        <v>0</v>
      </c>
      <c r="X18" s="659"/>
      <c r="Y18" s="665"/>
      <c r="Z18" s="666"/>
      <c r="AA18" s="659"/>
      <c r="AB18" s="665"/>
      <c r="AC18" s="666"/>
      <c r="AD18" s="516"/>
      <c r="AE18" s="553">
        <v>0</v>
      </c>
      <c r="AF18" s="553">
        <v>0</v>
      </c>
      <c r="AG18" s="553">
        <v>0</v>
      </c>
      <c r="AH18" s="553">
        <f t="shared" si="3"/>
        <v>0</v>
      </c>
    </row>
    <row r="19" spans="1:34">
      <c r="A19" s="655"/>
      <c r="B19" s="655"/>
      <c r="C19" s="655"/>
      <c r="D19" s="655"/>
      <c r="E19" s="655"/>
      <c r="F19" s="655"/>
      <c r="G19" s="655"/>
      <c r="H19" s="655"/>
      <c r="I19" s="655"/>
      <c r="J19" s="553">
        <v>0</v>
      </c>
      <c r="K19" s="553"/>
      <c r="L19" s="659"/>
      <c r="M19" s="665"/>
      <c r="N19" s="666"/>
      <c r="O19" s="553">
        <v>0</v>
      </c>
      <c r="P19" s="659"/>
      <c r="Q19" s="660"/>
      <c r="R19" s="661"/>
      <c r="S19" s="665"/>
      <c r="T19" s="665"/>
      <c r="U19" s="666"/>
      <c r="V19" s="553">
        <v>0</v>
      </c>
      <c r="W19" s="553">
        <f t="shared" si="2"/>
        <v>0</v>
      </c>
      <c r="X19" s="659"/>
      <c r="Y19" s="665"/>
      <c r="Z19" s="666"/>
      <c r="AA19" s="659"/>
      <c r="AB19" s="665"/>
      <c r="AC19" s="666"/>
      <c r="AD19" s="516"/>
      <c r="AE19" s="553">
        <v>0</v>
      </c>
      <c r="AF19" s="553">
        <v>0</v>
      </c>
      <c r="AG19" s="553">
        <v>0</v>
      </c>
      <c r="AH19" s="553">
        <f t="shared" si="3"/>
        <v>0</v>
      </c>
    </row>
    <row r="20" spans="1:34">
      <c r="A20" s="655"/>
      <c r="B20" s="655"/>
      <c r="C20" s="655"/>
      <c r="D20" s="655"/>
      <c r="E20" s="655"/>
      <c r="F20" s="655"/>
      <c r="G20" s="655"/>
      <c r="H20" s="655"/>
      <c r="I20" s="655"/>
      <c r="J20" s="553">
        <v>0</v>
      </c>
      <c r="K20" s="553"/>
      <c r="L20" s="659"/>
      <c r="M20" s="665"/>
      <c r="N20" s="666"/>
      <c r="O20" s="553">
        <v>0</v>
      </c>
      <c r="P20" s="659"/>
      <c r="Q20" s="660"/>
      <c r="R20" s="661"/>
      <c r="S20" s="665"/>
      <c r="T20" s="665"/>
      <c r="U20" s="666"/>
      <c r="V20" s="553">
        <v>0</v>
      </c>
      <c r="W20" s="553">
        <f t="shared" si="2"/>
        <v>0</v>
      </c>
      <c r="X20" s="659"/>
      <c r="Y20" s="665"/>
      <c r="Z20" s="666"/>
      <c r="AA20" s="659"/>
      <c r="AB20" s="665"/>
      <c r="AC20" s="666"/>
      <c r="AD20" s="516"/>
      <c r="AE20" s="553">
        <v>0</v>
      </c>
      <c r="AF20" s="553">
        <v>0</v>
      </c>
      <c r="AG20" s="553">
        <v>0</v>
      </c>
      <c r="AH20" s="553">
        <f t="shared" si="3"/>
        <v>0</v>
      </c>
    </row>
    <row r="21" spans="1:34">
      <c r="A21" s="655"/>
      <c r="B21" s="655"/>
      <c r="C21" s="655"/>
      <c r="D21" s="655"/>
      <c r="E21" s="655"/>
      <c r="F21" s="655"/>
      <c r="G21" s="655"/>
      <c r="H21" s="655"/>
      <c r="I21" s="655"/>
      <c r="J21" s="553">
        <v>0</v>
      </c>
      <c r="K21" s="553"/>
      <c r="L21" s="659"/>
      <c r="M21" s="665"/>
      <c r="N21" s="666"/>
      <c r="O21" s="553">
        <v>0</v>
      </c>
      <c r="P21" s="659"/>
      <c r="Q21" s="660"/>
      <c r="R21" s="661"/>
      <c r="S21" s="665"/>
      <c r="T21" s="665"/>
      <c r="U21" s="666"/>
      <c r="V21" s="553">
        <v>0</v>
      </c>
      <c r="W21" s="553">
        <f t="shared" si="2"/>
        <v>0</v>
      </c>
      <c r="X21" s="659"/>
      <c r="Y21" s="665"/>
      <c r="Z21" s="666"/>
      <c r="AA21" s="659"/>
      <c r="AB21" s="665"/>
      <c r="AC21" s="666"/>
      <c r="AD21" s="516"/>
      <c r="AE21" s="553">
        <v>0</v>
      </c>
      <c r="AF21" s="553">
        <v>0</v>
      </c>
      <c r="AG21" s="553">
        <v>0</v>
      </c>
      <c r="AH21" s="553">
        <f t="shared" si="3"/>
        <v>0</v>
      </c>
    </row>
    <row r="22" spans="1:34">
      <c r="A22" s="655"/>
      <c r="B22" s="655"/>
      <c r="C22" s="655"/>
      <c r="D22" s="655"/>
      <c r="E22" s="655"/>
      <c r="F22" s="655"/>
      <c r="G22" s="655"/>
      <c r="H22" s="655"/>
      <c r="I22" s="655"/>
      <c r="J22" s="553">
        <v>0</v>
      </c>
      <c r="K22" s="553"/>
      <c r="L22" s="659"/>
      <c r="M22" s="665"/>
      <c r="N22" s="666"/>
      <c r="O22" s="553">
        <v>0</v>
      </c>
      <c r="P22" s="659"/>
      <c r="Q22" s="660"/>
      <c r="R22" s="661"/>
      <c r="S22" s="665"/>
      <c r="T22" s="665"/>
      <c r="U22" s="666"/>
      <c r="V22" s="553">
        <v>0</v>
      </c>
      <c r="W22" s="553">
        <f t="shared" si="2"/>
        <v>0</v>
      </c>
      <c r="X22" s="659"/>
      <c r="Y22" s="665"/>
      <c r="Z22" s="666"/>
      <c r="AA22" s="659"/>
      <c r="AB22" s="665"/>
      <c r="AC22" s="666"/>
      <c r="AD22" s="516"/>
      <c r="AE22" s="553">
        <v>0</v>
      </c>
      <c r="AF22" s="553">
        <v>0</v>
      </c>
      <c r="AG22" s="553">
        <v>0</v>
      </c>
      <c r="AH22" s="553">
        <f t="shared" si="3"/>
        <v>0</v>
      </c>
    </row>
    <row r="23" spans="1:34">
      <c r="A23" s="655"/>
      <c r="B23" s="655"/>
      <c r="C23" s="655"/>
      <c r="D23" s="655"/>
      <c r="E23" s="655"/>
      <c r="F23" s="655"/>
      <c r="G23" s="655"/>
      <c r="H23" s="655"/>
      <c r="I23" s="655"/>
      <c r="J23" s="553">
        <v>0</v>
      </c>
      <c r="K23" s="553"/>
      <c r="L23" s="659"/>
      <c r="M23" s="665"/>
      <c r="N23" s="666"/>
      <c r="O23" s="553">
        <v>0</v>
      </c>
      <c r="P23" s="659"/>
      <c r="Q23" s="660"/>
      <c r="R23" s="661"/>
      <c r="S23" s="665"/>
      <c r="T23" s="665"/>
      <c r="U23" s="666"/>
      <c r="V23" s="553">
        <v>0</v>
      </c>
      <c r="W23" s="553">
        <f t="shared" si="2"/>
        <v>0</v>
      </c>
      <c r="X23" s="659"/>
      <c r="Y23" s="665"/>
      <c r="Z23" s="666"/>
      <c r="AA23" s="659"/>
      <c r="AB23" s="665"/>
      <c r="AC23" s="666"/>
      <c r="AD23" s="516"/>
      <c r="AE23" s="553">
        <v>0</v>
      </c>
      <c r="AF23" s="553">
        <v>0</v>
      </c>
      <c r="AG23" s="553">
        <v>0</v>
      </c>
      <c r="AH23" s="553">
        <f t="shared" si="3"/>
        <v>0</v>
      </c>
    </row>
    <row r="24" spans="1:34">
      <c r="A24" s="655"/>
      <c r="B24" s="655"/>
      <c r="C24" s="655"/>
      <c r="D24" s="655"/>
      <c r="E24" s="655"/>
      <c r="F24" s="655"/>
      <c r="G24" s="655"/>
      <c r="H24" s="655"/>
      <c r="I24" s="655"/>
      <c r="J24" s="553">
        <v>0</v>
      </c>
      <c r="K24" s="553"/>
      <c r="L24" s="659"/>
      <c r="M24" s="665"/>
      <c r="N24" s="666"/>
      <c r="O24" s="553">
        <v>0</v>
      </c>
      <c r="P24" s="659"/>
      <c r="Q24" s="660"/>
      <c r="R24" s="661"/>
      <c r="S24" s="665"/>
      <c r="T24" s="665"/>
      <c r="U24" s="666"/>
      <c r="V24" s="553">
        <v>0</v>
      </c>
      <c r="W24" s="553">
        <f t="shared" si="0"/>
        <v>0</v>
      </c>
      <c r="X24" s="659"/>
      <c r="Y24" s="665"/>
      <c r="Z24" s="666"/>
      <c r="AA24" s="659"/>
      <c r="AB24" s="665"/>
      <c r="AC24" s="666"/>
      <c r="AD24" s="516"/>
      <c r="AE24" s="553">
        <v>0</v>
      </c>
      <c r="AF24" s="553">
        <v>0</v>
      </c>
      <c r="AG24" s="553">
        <v>0</v>
      </c>
      <c r="AH24" s="553">
        <f t="shared" si="1"/>
        <v>0</v>
      </c>
    </row>
    <row r="25" spans="1:34">
      <c r="A25" s="655"/>
      <c r="B25" s="655"/>
      <c r="C25" s="655"/>
      <c r="D25" s="655"/>
      <c r="E25" s="655"/>
      <c r="F25" s="655"/>
      <c r="G25" s="655"/>
      <c r="H25" s="655"/>
      <c r="I25" s="655"/>
      <c r="J25" s="553">
        <v>0</v>
      </c>
      <c r="K25" s="553"/>
      <c r="L25" s="659"/>
      <c r="M25" s="665"/>
      <c r="N25" s="666"/>
      <c r="O25" s="553">
        <v>0</v>
      </c>
      <c r="P25" s="659"/>
      <c r="Q25" s="660"/>
      <c r="R25" s="661"/>
      <c r="S25" s="665"/>
      <c r="T25" s="665"/>
      <c r="U25" s="666"/>
      <c r="V25" s="553">
        <v>0</v>
      </c>
      <c r="W25" s="553">
        <f t="shared" si="0"/>
        <v>0</v>
      </c>
      <c r="X25" s="659"/>
      <c r="Y25" s="665"/>
      <c r="Z25" s="666"/>
      <c r="AA25" s="659"/>
      <c r="AB25" s="665"/>
      <c r="AC25" s="666"/>
      <c r="AD25" s="516"/>
      <c r="AE25" s="553">
        <v>0</v>
      </c>
      <c r="AF25" s="553">
        <v>0</v>
      </c>
      <c r="AG25" s="553">
        <v>0</v>
      </c>
      <c r="AH25" s="553">
        <f t="shared" si="1"/>
        <v>0</v>
      </c>
    </row>
    <row r="26" spans="1:34">
      <c r="A26" s="655"/>
      <c r="B26" s="655"/>
      <c r="C26" s="655"/>
      <c r="D26" s="655"/>
      <c r="E26" s="655"/>
      <c r="F26" s="655"/>
      <c r="G26" s="655"/>
      <c r="H26" s="655"/>
      <c r="I26" s="655"/>
      <c r="J26" s="553">
        <v>0</v>
      </c>
      <c r="K26" s="553"/>
      <c r="L26" s="659"/>
      <c r="M26" s="665"/>
      <c r="N26" s="666"/>
      <c r="O26" s="553">
        <v>0</v>
      </c>
      <c r="P26" s="659"/>
      <c r="Q26" s="660"/>
      <c r="R26" s="661"/>
      <c r="S26" s="665"/>
      <c r="T26" s="665"/>
      <c r="U26" s="666"/>
      <c r="V26" s="553">
        <v>0</v>
      </c>
      <c r="W26" s="553">
        <f t="shared" si="0"/>
        <v>0</v>
      </c>
      <c r="X26" s="659"/>
      <c r="Y26" s="665"/>
      <c r="Z26" s="666"/>
      <c r="AA26" s="659"/>
      <c r="AB26" s="665"/>
      <c r="AC26" s="666"/>
      <c r="AD26" s="516"/>
      <c r="AE26" s="553">
        <v>0</v>
      </c>
      <c r="AF26" s="553">
        <v>0</v>
      </c>
      <c r="AG26" s="553">
        <v>0</v>
      </c>
      <c r="AH26" s="553">
        <f t="shared" si="1"/>
        <v>0</v>
      </c>
    </row>
    <row r="27" spans="1:34">
      <c r="A27" s="655"/>
      <c r="B27" s="655"/>
      <c r="C27" s="655"/>
      <c r="D27" s="655"/>
      <c r="E27" s="655"/>
      <c r="F27" s="655"/>
      <c r="G27" s="655"/>
      <c r="H27" s="655"/>
      <c r="I27" s="655"/>
      <c r="J27" s="553">
        <v>0</v>
      </c>
      <c r="K27" s="553"/>
      <c r="L27" s="659"/>
      <c r="M27" s="665"/>
      <c r="N27" s="666"/>
      <c r="O27" s="553">
        <v>0</v>
      </c>
      <c r="P27" s="659"/>
      <c r="Q27" s="660"/>
      <c r="R27" s="661"/>
      <c r="S27" s="665"/>
      <c r="T27" s="665"/>
      <c r="U27" s="666"/>
      <c r="V27" s="553">
        <v>0</v>
      </c>
      <c r="W27" s="553">
        <f t="shared" ref="W27:W46" si="4">SUM(J27*O27*V27)</f>
        <v>0</v>
      </c>
      <c r="X27" s="659"/>
      <c r="Y27" s="665"/>
      <c r="Z27" s="666"/>
      <c r="AA27" s="659"/>
      <c r="AB27" s="665"/>
      <c r="AC27" s="666"/>
      <c r="AD27" s="516"/>
      <c r="AE27" s="553">
        <v>0</v>
      </c>
      <c r="AF27" s="553">
        <v>0</v>
      </c>
      <c r="AG27" s="553">
        <v>0</v>
      </c>
      <c r="AH27" s="553">
        <f t="shared" ref="AH27:AH46" si="5">SUM(AE27*AF27*AG27)</f>
        <v>0</v>
      </c>
    </row>
    <row r="28" spans="1:34">
      <c r="A28" s="655"/>
      <c r="B28" s="655"/>
      <c r="C28" s="655"/>
      <c r="D28" s="655"/>
      <c r="E28" s="655"/>
      <c r="F28" s="655"/>
      <c r="G28" s="655"/>
      <c r="H28" s="655"/>
      <c r="I28" s="655"/>
      <c r="J28" s="553">
        <v>0</v>
      </c>
      <c r="K28" s="553"/>
      <c r="L28" s="659"/>
      <c r="M28" s="665"/>
      <c r="N28" s="666"/>
      <c r="O28" s="553">
        <v>0</v>
      </c>
      <c r="P28" s="659"/>
      <c r="Q28" s="660"/>
      <c r="R28" s="661"/>
      <c r="S28" s="665"/>
      <c r="T28" s="665"/>
      <c r="U28" s="666"/>
      <c r="V28" s="553">
        <v>0</v>
      </c>
      <c r="W28" s="553">
        <f t="shared" si="4"/>
        <v>0</v>
      </c>
      <c r="X28" s="659"/>
      <c r="Y28" s="665"/>
      <c r="Z28" s="666"/>
      <c r="AA28" s="659"/>
      <c r="AB28" s="665"/>
      <c r="AC28" s="666"/>
      <c r="AD28" s="516"/>
      <c r="AE28" s="553">
        <v>0</v>
      </c>
      <c r="AF28" s="553">
        <v>0</v>
      </c>
      <c r="AG28" s="553">
        <v>0</v>
      </c>
      <c r="AH28" s="553">
        <f t="shared" si="5"/>
        <v>0</v>
      </c>
    </row>
    <row r="29" spans="1:34">
      <c r="A29" s="655"/>
      <c r="B29" s="655"/>
      <c r="C29" s="655"/>
      <c r="D29" s="655"/>
      <c r="E29" s="655"/>
      <c r="F29" s="655"/>
      <c r="G29" s="655"/>
      <c r="H29" s="655"/>
      <c r="I29" s="655"/>
      <c r="J29" s="553">
        <v>0</v>
      </c>
      <c r="K29" s="553"/>
      <c r="L29" s="659"/>
      <c r="M29" s="665"/>
      <c r="N29" s="666"/>
      <c r="O29" s="553">
        <v>0</v>
      </c>
      <c r="P29" s="659"/>
      <c r="Q29" s="660"/>
      <c r="R29" s="661"/>
      <c r="S29" s="665"/>
      <c r="T29" s="665"/>
      <c r="U29" s="666"/>
      <c r="V29" s="553">
        <v>0</v>
      </c>
      <c r="W29" s="553">
        <f t="shared" si="4"/>
        <v>0</v>
      </c>
      <c r="X29" s="659"/>
      <c r="Y29" s="665"/>
      <c r="Z29" s="666"/>
      <c r="AA29" s="659"/>
      <c r="AB29" s="665"/>
      <c r="AC29" s="666"/>
      <c r="AD29" s="516"/>
      <c r="AE29" s="553">
        <v>0</v>
      </c>
      <c r="AF29" s="553">
        <v>0</v>
      </c>
      <c r="AG29" s="553">
        <v>0</v>
      </c>
      <c r="AH29" s="553">
        <f t="shared" si="5"/>
        <v>0</v>
      </c>
    </row>
    <row r="30" spans="1:34">
      <c r="A30" s="655"/>
      <c r="B30" s="655"/>
      <c r="C30" s="655"/>
      <c r="D30" s="655"/>
      <c r="E30" s="655"/>
      <c r="F30" s="655"/>
      <c r="G30" s="655"/>
      <c r="H30" s="655"/>
      <c r="I30" s="655"/>
      <c r="J30" s="553">
        <v>0</v>
      </c>
      <c r="K30" s="553"/>
      <c r="L30" s="659"/>
      <c r="M30" s="665"/>
      <c r="N30" s="666"/>
      <c r="O30" s="553">
        <v>0</v>
      </c>
      <c r="P30" s="659"/>
      <c r="Q30" s="660"/>
      <c r="R30" s="661"/>
      <c r="S30" s="665"/>
      <c r="T30" s="665"/>
      <c r="U30" s="666"/>
      <c r="V30" s="553">
        <v>0</v>
      </c>
      <c r="W30" s="553">
        <f t="shared" si="4"/>
        <v>0</v>
      </c>
      <c r="X30" s="659"/>
      <c r="Y30" s="665"/>
      <c r="Z30" s="666"/>
      <c r="AA30" s="659"/>
      <c r="AB30" s="665"/>
      <c r="AC30" s="666"/>
      <c r="AD30" s="516"/>
      <c r="AE30" s="553">
        <v>0</v>
      </c>
      <c r="AF30" s="553">
        <v>0</v>
      </c>
      <c r="AG30" s="553">
        <v>0</v>
      </c>
      <c r="AH30" s="553">
        <f t="shared" si="5"/>
        <v>0</v>
      </c>
    </row>
    <row r="31" spans="1:34">
      <c r="A31" s="655"/>
      <c r="B31" s="655"/>
      <c r="C31" s="655"/>
      <c r="D31" s="655"/>
      <c r="E31" s="655"/>
      <c r="F31" s="655"/>
      <c r="G31" s="655"/>
      <c r="H31" s="655"/>
      <c r="I31" s="655"/>
      <c r="J31" s="553">
        <v>0</v>
      </c>
      <c r="K31" s="553"/>
      <c r="L31" s="659"/>
      <c r="M31" s="665"/>
      <c r="N31" s="666"/>
      <c r="O31" s="553">
        <v>0</v>
      </c>
      <c r="P31" s="659"/>
      <c r="Q31" s="660"/>
      <c r="R31" s="661"/>
      <c r="S31" s="665"/>
      <c r="T31" s="665"/>
      <c r="U31" s="666"/>
      <c r="V31" s="553">
        <v>0</v>
      </c>
      <c r="W31" s="553">
        <f t="shared" si="4"/>
        <v>0</v>
      </c>
      <c r="X31" s="659"/>
      <c r="Y31" s="665"/>
      <c r="Z31" s="666"/>
      <c r="AA31" s="659"/>
      <c r="AB31" s="665"/>
      <c r="AC31" s="666"/>
      <c r="AD31" s="516"/>
      <c r="AE31" s="553">
        <v>0</v>
      </c>
      <c r="AF31" s="553">
        <v>0</v>
      </c>
      <c r="AG31" s="553">
        <v>0</v>
      </c>
      <c r="AH31" s="553">
        <f t="shared" si="5"/>
        <v>0</v>
      </c>
    </row>
    <row r="32" spans="1:34">
      <c r="A32" s="655"/>
      <c r="B32" s="655"/>
      <c r="C32" s="655"/>
      <c r="D32" s="655"/>
      <c r="E32" s="655"/>
      <c r="F32" s="655"/>
      <c r="G32" s="655"/>
      <c r="H32" s="655"/>
      <c r="I32" s="655"/>
      <c r="J32" s="553">
        <v>0</v>
      </c>
      <c r="K32" s="553"/>
      <c r="L32" s="659"/>
      <c r="M32" s="665"/>
      <c r="N32" s="666"/>
      <c r="O32" s="553">
        <v>0</v>
      </c>
      <c r="P32" s="659"/>
      <c r="Q32" s="660"/>
      <c r="R32" s="661"/>
      <c r="S32" s="665"/>
      <c r="T32" s="665"/>
      <c r="U32" s="666"/>
      <c r="V32" s="553">
        <v>0</v>
      </c>
      <c r="W32" s="553">
        <f t="shared" si="4"/>
        <v>0</v>
      </c>
      <c r="X32" s="659"/>
      <c r="Y32" s="665"/>
      <c r="Z32" s="666"/>
      <c r="AA32" s="659"/>
      <c r="AB32" s="665"/>
      <c r="AC32" s="666"/>
      <c r="AD32" s="516"/>
      <c r="AE32" s="553">
        <v>0</v>
      </c>
      <c r="AF32" s="553">
        <v>0</v>
      </c>
      <c r="AG32" s="553">
        <v>0</v>
      </c>
      <c r="AH32" s="553">
        <f t="shared" si="5"/>
        <v>0</v>
      </c>
    </row>
    <row r="33" spans="1:34">
      <c r="A33" s="655"/>
      <c r="B33" s="655"/>
      <c r="C33" s="655"/>
      <c r="D33" s="655"/>
      <c r="E33" s="655"/>
      <c r="F33" s="655"/>
      <c r="G33" s="655"/>
      <c r="H33" s="655"/>
      <c r="I33" s="655"/>
      <c r="J33" s="553">
        <v>0</v>
      </c>
      <c r="K33" s="553"/>
      <c r="L33" s="659"/>
      <c r="M33" s="665"/>
      <c r="N33" s="666"/>
      <c r="O33" s="553">
        <v>0</v>
      </c>
      <c r="P33" s="659"/>
      <c r="Q33" s="660"/>
      <c r="R33" s="661"/>
      <c r="S33" s="665"/>
      <c r="T33" s="665"/>
      <c r="U33" s="666"/>
      <c r="V33" s="553">
        <v>0</v>
      </c>
      <c r="W33" s="553">
        <f t="shared" si="4"/>
        <v>0</v>
      </c>
      <c r="X33" s="659"/>
      <c r="Y33" s="665"/>
      <c r="Z33" s="666"/>
      <c r="AA33" s="659"/>
      <c r="AB33" s="665"/>
      <c r="AC33" s="666"/>
      <c r="AD33" s="516"/>
      <c r="AE33" s="553">
        <v>0</v>
      </c>
      <c r="AF33" s="553">
        <v>0</v>
      </c>
      <c r="AG33" s="553">
        <v>0</v>
      </c>
      <c r="AH33" s="553">
        <f t="shared" si="5"/>
        <v>0</v>
      </c>
    </row>
    <row r="34" spans="1:34">
      <c r="A34" s="655"/>
      <c r="B34" s="655"/>
      <c r="C34" s="655"/>
      <c r="D34" s="655"/>
      <c r="E34" s="655"/>
      <c r="F34" s="655"/>
      <c r="G34" s="655"/>
      <c r="H34" s="655"/>
      <c r="I34" s="655"/>
      <c r="J34" s="553">
        <v>0</v>
      </c>
      <c r="K34" s="553"/>
      <c r="L34" s="659"/>
      <c r="M34" s="665"/>
      <c r="N34" s="666"/>
      <c r="O34" s="553">
        <v>0</v>
      </c>
      <c r="P34" s="659"/>
      <c r="Q34" s="660"/>
      <c r="R34" s="661"/>
      <c r="S34" s="665"/>
      <c r="T34" s="665"/>
      <c r="U34" s="666"/>
      <c r="V34" s="553">
        <v>0</v>
      </c>
      <c r="W34" s="553">
        <f t="shared" si="4"/>
        <v>0</v>
      </c>
      <c r="X34" s="659"/>
      <c r="Y34" s="665"/>
      <c r="Z34" s="666"/>
      <c r="AA34" s="659"/>
      <c r="AB34" s="665"/>
      <c r="AC34" s="666"/>
      <c r="AD34" s="516"/>
      <c r="AE34" s="553">
        <v>0</v>
      </c>
      <c r="AF34" s="553">
        <v>0</v>
      </c>
      <c r="AG34" s="553">
        <v>0</v>
      </c>
      <c r="AH34" s="553">
        <f t="shared" si="5"/>
        <v>0</v>
      </c>
    </row>
    <row r="35" spans="1:34">
      <c r="A35" s="655"/>
      <c r="B35" s="655"/>
      <c r="C35" s="655"/>
      <c r="D35" s="655"/>
      <c r="E35" s="655"/>
      <c r="F35" s="655"/>
      <c r="G35" s="655"/>
      <c r="H35" s="655"/>
      <c r="I35" s="655"/>
      <c r="J35" s="553">
        <v>0</v>
      </c>
      <c r="K35" s="553"/>
      <c r="L35" s="659"/>
      <c r="M35" s="665"/>
      <c r="N35" s="666"/>
      <c r="O35" s="553">
        <v>0</v>
      </c>
      <c r="P35" s="659"/>
      <c r="Q35" s="660"/>
      <c r="R35" s="661"/>
      <c r="S35" s="665"/>
      <c r="T35" s="665"/>
      <c r="U35" s="666"/>
      <c r="V35" s="553">
        <v>0</v>
      </c>
      <c r="W35" s="553">
        <f t="shared" si="4"/>
        <v>0</v>
      </c>
      <c r="X35" s="659"/>
      <c r="Y35" s="665"/>
      <c r="Z35" s="666"/>
      <c r="AA35" s="659"/>
      <c r="AB35" s="665"/>
      <c r="AC35" s="666"/>
      <c r="AD35" s="516"/>
      <c r="AE35" s="553">
        <v>0</v>
      </c>
      <c r="AF35" s="553">
        <v>0</v>
      </c>
      <c r="AG35" s="553">
        <v>0</v>
      </c>
      <c r="AH35" s="553">
        <f t="shared" si="5"/>
        <v>0</v>
      </c>
    </row>
    <row r="36" spans="1:34">
      <c r="A36" s="655"/>
      <c r="B36" s="655"/>
      <c r="C36" s="655"/>
      <c r="D36" s="655"/>
      <c r="E36" s="655"/>
      <c r="F36" s="655"/>
      <c r="G36" s="655"/>
      <c r="H36" s="655"/>
      <c r="I36" s="655"/>
      <c r="J36" s="553">
        <v>0</v>
      </c>
      <c r="K36" s="553"/>
      <c r="L36" s="659"/>
      <c r="M36" s="665"/>
      <c r="N36" s="666"/>
      <c r="O36" s="553">
        <v>0</v>
      </c>
      <c r="P36" s="659"/>
      <c r="Q36" s="660"/>
      <c r="R36" s="661"/>
      <c r="S36" s="665"/>
      <c r="T36" s="665"/>
      <c r="U36" s="666"/>
      <c r="V36" s="553">
        <v>0</v>
      </c>
      <c r="W36" s="553">
        <f t="shared" si="4"/>
        <v>0</v>
      </c>
      <c r="X36" s="659"/>
      <c r="Y36" s="665"/>
      <c r="Z36" s="666"/>
      <c r="AA36" s="659"/>
      <c r="AB36" s="665"/>
      <c r="AC36" s="666"/>
      <c r="AD36" s="516"/>
      <c r="AE36" s="553">
        <v>0</v>
      </c>
      <c r="AF36" s="553">
        <v>0</v>
      </c>
      <c r="AG36" s="553">
        <v>0</v>
      </c>
      <c r="AH36" s="553">
        <f t="shared" si="5"/>
        <v>0</v>
      </c>
    </row>
    <row r="37" spans="1:34">
      <c r="A37" s="655"/>
      <c r="B37" s="655"/>
      <c r="C37" s="655"/>
      <c r="D37" s="655"/>
      <c r="E37" s="655"/>
      <c r="F37" s="655"/>
      <c r="G37" s="655"/>
      <c r="H37" s="655"/>
      <c r="I37" s="655"/>
      <c r="J37" s="553">
        <v>0</v>
      </c>
      <c r="K37" s="553"/>
      <c r="L37" s="659"/>
      <c r="M37" s="665"/>
      <c r="N37" s="666"/>
      <c r="O37" s="553">
        <v>0</v>
      </c>
      <c r="P37" s="659"/>
      <c r="Q37" s="660"/>
      <c r="R37" s="661"/>
      <c r="S37" s="665"/>
      <c r="T37" s="665"/>
      <c r="U37" s="666"/>
      <c r="V37" s="553">
        <v>0</v>
      </c>
      <c r="W37" s="553">
        <f t="shared" si="4"/>
        <v>0</v>
      </c>
      <c r="X37" s="659"/>
      <c r="Y37" s="665"/>
      <c r="Z37" s="666"/>
      <c r="AA37" s="659"/>
      <c r="AB37" s="665"/>
      <c r="AC37" s="666"/>
      <c r="AD37" s="516"/>
      <c r="AE37" s="553">
        <v>0</v>
      </c>
      <c r="AF37" s="553">
        <v>0</v>
      </c>
      <c r="AG37" s="553">
        <v>0</v>
      </c>
      <c r="AH37" s="553">
        <f t="shared" si="5"/>
        <v>0</v>
      </c>
    </row>
    <row r="38" spans="1:34">
      <c r="A38" s="655"/>
      <c r="B38" s="655"/>
      <c r="C38" s="655"/>
      <c r="D38" s="655"/>
      <c r="E38" s="655"/>
      <c r="F38" s="655"/>
      <c r="G38" s="655"/>
      <c r="H38" s="655"/>
      <c r="I38" s="655"/>
      <c r="J38" s="553">
        <v>0</v>
      </c>
      <c r="K38" s="553"/>
      <c r="L38" s="659"/>
      <c r="M38" s="665"/>
      <c r="N38" s="666"/>
      <c r="O38" s="553">
        <v>0</v>
      </c>
      <c r="P38" s="659"/>
      <c r="Q38" s="660"/>
      <c r="R38" s="661"/>
      <c r="S38" s="665"/>
      <c r="T38" s="665"/>
      <c r="U38" s="666"/>
      <c r="V38" s="553">
        <v>0</v>
      </c>
      <c r="W38" s="553">
        <f t="shared" si="4"/>
        <v>0</v>
      </c>
      <c r="X38" s="659"/>
      <c r="Y38" s="665"/>
      <c r="Z38" s="666"/>
      <c r="AA38" s="659"/>
      <c r="AB38" s="665"/>
      <c r="AC38" s="666"/>
      <c r="AD38" s="516"/>
      <c r="AE38" s="553">
        <v>0</v>
      </c>
      <c r="AF38" s="553">
        <v>0</v>
      </c>
      <c r="AG38" s="553">
        <v>0</v>
      </c>
      <c r="AH38" s="553">
        <f t="shared" si="5"/>
        <v>0</v>
      </c>
    </row>
    <row r="39" spans="1:34">
      <c r="A39" s="655"/>
      <c r="B39" s="655"/>
      <c r="C39" s="655"/>
      <c r="D39" s="655"/>
      <c r="E39" s="655"/>
      <c r="F39" s="655"/>
      <c r="G39" s="655"/>
      <c r="H39" s="655"/>
      <c r="I39" s="655"/>
      <c r="J39" s="553">
        <v>0</v>
      </c>
      <c r="K39" s="553"/>
      <c r="L39" s="659"/>
      <c r="M39" s="665"/>
      <c r="N39" s="666"/>
      <c r="O39" s="553">
        <v>0</v>
      </c>
      <c r="P39" s="659"/>
      <c r="Q39" s="660"/>
      <c r="R39" s="661"/>
      <c r="S39" s="665"/>
      <c r="T39" s="665"/>
      <c r="U39" s="666"/>
      <c r="V39" s="553">
        <v>0</v>
      </c>
      <c r="W39" s="553">
        <f t="shared" si="4"/>
        <v>0</v>
      </c>
      <c r="X39" s="659"/>
      <c r="Y39" s="665"/>
      <c r="Z39" s="666"/>
      <c r="AA39" s="659"/>
      <c r="AB39" s="665"/>
      <c r="AC39" s="666"/>
      <c r="AD39" s="516"/>
      <c r="AE39" s="553">
        <v>0</v>
      </c>
      <c r="AF39" s="553">
        <v>0</v>
      </c>
      <c r="AG39" s="553">
        <v>0</v>
      </c>
      <c r="AH39" s="553">
        <f t="shared" si="5"/>
        <v>0</v>
      </c>
    </row>
    <row r="40" spans="1:34">
      <c r="A40" s="655"/>
      <c r="B40" s="655"/>
      <c r="C40" s="655"/>
      <c r="D40" s="655"/>
      <c r="E40" s="655"/>
      <c r="F40" s="655"/>
      <c r="G40" s="655"/>
      <c r="H40" s="655"/>
      <c r="I40" s="655"/>
      <c r="J40" s="553">
        <v>0</v>
      </c>
      <c r="K40" s="553"/>
      <c r="L40" s="659"/>
      <c r="M40" s="665"/>
      <c r="N40" s="666"/>
      <c r="O40" s="553">
        <v>0</v>
      </c>
      <c r="P40" s="659"/>
      <c r="Q40" s="660"/>
      <c r="R40" s="661"/>
      <c r="S40" s="665"/>
      <c r="T40" s="665"/>
      <c r="U40" s="666"/>
      <c r="V40" s="553">
        <v>0</v>
      </c>
      <c r="W40" s="553">
        <f t="shared" si="4"/>
        <v>0</v>
      </c>
      <c r="X40" s="659"/>
      <c r="Y40" s="665"/>
      <c r="Z40" s="666"/>
      <c r="AA40" s="659"/>
      <c r="AB40" s="665"/>
      <c r="AC40" s="666"/>
      <c r="AD40" s="516"/>
      <c r="AE40" s="553">
        <v>0</v>
      </c>
      <c r="AF40" s="553">
        <v>0</v>
      </c>
      <c r="AG40" s="553">
        <v>0</v>
      </c>
      <c r="AH40" s="553">
        <f t="shared" si="5"/>
        <v>0</v>
      </c>
    </row>
    <row r="41" spans="1:34">
      <c r="A41" s="655"/>
      <c r="B41" s="655"/>
      <c r="C41" s="655"/>
      <c r="D41" s="655"/>
      <c r="E41" s="655"/>
      <c r="F41" s="655"/>
      <c r="G41" s="655"/>
      <c r="H41" s="655"/>
      <c r="I41" s="655"/>
      <c r="J41" s="553">
        <v>0</v>
      </c>
      <c r="K41" s="553"/>
      <c r="L41" s="659"/>
      <c r="M41" s="665"/>
      <c r="N41" s="666"/>
      <c r="O41" s="553">
        <v>0</v>
      </c>
      <c r="P41" s="659"/>
      <c r="Q41" s="660"/>
      <c r="R41" s="661"/>
      <c r="S41" s="665"/>
      <c r="T41" s="665"/>
      <c r="U41" s="666"/>
      <c r="V41" s="553">
        <v>0</v>
      </c>
      <c r="W41" s="553">
        <f t="shared" si="4"/>
        <v>0</v>
      </c>
      <c r="X41" s="659"/>
      <c r="Y41" s="665"/>
      <c r="Z41" s="666"/>
      <c r="AA41" s="659"/>
      <c r="AB41" s="665"/>
      <c r="AC41" s="666"/>
      <c r="AD41" s="516"/>
      <c r="AE41" s="553">
        <v>0</v>
      </c>
      <c r="AF41" s="553">
        <v>0</v>
      </c>
      <c r="AG41" s="553">
        <v>0</v>
      </c>
      <c r="AH41" s="553">
        <f t="shared" si="5"/>
        <v>0</v>
      </c>
    </row>
    <row r="42" spans="1:34">
      <c r="A42" s="655"/>
      <c r="B42" s="655"/>
      <c r="C42" s="655"/>
      <c r="D42" s="655"/>
      <c r="E42" s="655"/>
      <c r="F42" s="655"/>
      <c r="G42" s="655"/>
      <c r="H42" s="655"/>
      <c r="I42" s="655"/>
      <c r="J42" s="553">
        <v>0</v>
      </c>
      <c r="K42" s="553"/>
      <c r="L42" s="659"/>
      <c r="M42" s="665"/>
      <c r="N42" s="666"/>
      <c r="O42" s="553">
        <v>0</v>
      </c>
      <c r="P42" s="659"/>
      <c r="Q42" s="660"/>
      <c r="R42" s="661"/>
      <c r="S42" s="665"/>
      <c r="T42" s="665"/>
      <c r="U42" s="666"/>
      <c r="V42" s="553">
        <v>0</v>
      </c>
      <c r="W42" s="553">
        <f t="shared" si="4"/>
        <v>0</v>
      </c>
      <c r="X42" s="659"/>
      <c r="Y42" s="665"/>
      <c r="Z42" s="666"/>
      <c r="AA42" s="659"/>
      <c r="AB42" s="665"/>
      <c r="AC42" s="666"/>
      <c r="AD42" s="516"/>
      <c r="AE42" s="553">
        <v>0</v>
      </c>
      <c r="AF42" s="553">
        <v>0</v>
      </c>
      <c r="AG42" s="553">
        <v>0</v>
      </c>
      <c r="AH42" s="553">
        <f t="shared" si="5"/>
        <v>0</v>
      </c>
    </row>
    <row r="43" spans="1:34">
      <c r="A43" s="655"/>
      <c r="B43" s="655"/>
      <c r="C43" s="655"/>
      <c r="D43" s="655"/>
      <c r="E43" s="655"/>
      <c r="F43" s="655"/>
      <c r="G43" s="655"/>
      <c r="H43" s="655"/>
      <c r="I43" s="655"/>
      <c r="J43" s="553">
        <v>0</v>
      </c>
      <c r="K43" s="553"/>
      <c r="L43" s="659"/>
      <c r="M43" s="665"/>
      <c r="N43" s="666"/>
      <c r="O43" s="553">
        <v>0</v>
      </c>
      <c r="P43" s="659"/>
      <c r="Q43" s="660"/>
      <c r="R43" s="661"/>
      <c r="S43" s="665"/>
      <c r="T43" s="665"/>
      <c r="U43" s="666"/>
      <c r="V43" s="553">
        <v>0</v>
      </c>
      <c r="W43" s="553">
        <f t="shared" si="4"/>
        <v>0</v>
      </c>
      <c r="X43" s="659"/>
      <c r="Y43" s="665"/>
      <c r="Z43" s="666"/>
      <c r="AA43" s="659"/>
      <c r="AB43" s="665"/>
      <c r="AC43" s="666"/>
      <c r="AD43" s="516"/>
      <c r="AE43" s="553">
        <v>0</v>
      </c>
      <c r="AF43" s="553">
        <v>0</v>
      </c>
      <c r="AG43" s="553">
        <v>0</v>
      </c>
      <c r="AH43" s="553">
        <f t="shared" si="5"/>
        <v>0</v>
      </c>
    </row>
    <row r="44" spans="1:34">
      <c r="A44" s="655"/>
      <c r="B44" s="655"/>
      <c r="C44" s="655"/>
      <c r="D44" s="655"/>
      <c r="E44" s="655"/>
      <c r="F44" s="655"/>
      <c r="G44" s="655"/>
      <c r="H44" s="655"/>
      <c r="I44" s="655"/>
      <c r="J44" s="553">
        <v>0</v>
      </c>
      <c r="K44" s="553"/>
      <c r="L44" s="659"/>
      <c r="M44" s="665"/>
      <c r="N44" s="666"/>
      <c r="O44" s="553">
        <v>0</v>
      </c>
      <c r="P44" s="659"/>
      <c r="Q44" s="660"/>
      <c r="R44" s="661"/>
      <c r="S44" s="665"/>
      <c r="T44" s="665"/>
      <c r="U44" s="666"/>
      <c r="V44" s="553">
        <v>0</v>
      </c>
      <c r="W44" s="553">
        <f t="shared" si="4"/>
        <v>0</v>
      </c>
      <c r="X44" s="659"/>
      <c r="Y44" s="665"/>
      <c r="Z44" s="666"/>
      <c r="AA44" s="659"/>
      <c r="AB44" s="665"/>
      <c r="AC44" s="666"/>
      <c r="AD44" s="516"/>
      <c r="AE44" s="553">
        <v>0</v>
      </c>
      <c r="AF44" s="553">
        <v>0</v>
      </c>
      <c r="AG44" s="553">
        <v>0</v>
      </c>
      <c r="AH44" s="553">
        <f t="shared" si="5"/>
        <v>0</v>
      </c>
    </row>
    <row r="45" spans="1:34">
      <c r="A45" s="655"/>
      <c r="B45" s="655"/>
      <c r="C45" s="655"/>
      <c r="D45" s="655"/>
      <c r="E45" s="655"/>
      <c r="F45" s="655"/>
      <c r="G45" s="655"/>
      <c r="H45" s="655"/>
      <c r="I45" s="655"/>
      <c r="J45" s="553">
        <v>0</v>
      </c>
      <c r="K45" s="553"/>
      <c r="L45" s="659"/>
      <c r="M45" s="665"/>
      <c r="N45" s="666"/>
      <c r="O45" s="553">
        <v>0</v>
      </c>
      <c r="P45" s="659"/>
      <c r="Q45" s="660"/>
      <c r="R45" s="661"/>
      <c r="S45" s="665"/>
      <c r="T45" s="665"/>
      <c r="U45" s="666"/>
      <c r="V45" s="553">
        <v>0</v>
      </c>
      <c r="W45" s="553">
        <f t="shared" si="4"/>
        <v>0</v>
      </c>
      <c r="X45" s="659"/>
      <c r="Y45" s="665"/>
      <c r="Z45" s="666"/>
      <c r="AA45" s="659"/>
      <c r="AB45" s="665"/>
      <c r="AC45" s="666"/>
      <c r="AD45" s="516"/>
      <c r="AE45" s="553">
        <v>0</v>
      </c>
      <c r="AF45" s="553">
        <v>0</v>
      </c>
      <c r="AG45" s="553">
        <v>0</v>
      </c>
      <c r="AH45" s="553">
        <f t="shared" si="5"/>
        <v>0</v>
      </c>
    </row>
    <row r="46" spans="1:34">
      <c r="A46" s="655"/>
      <c r="B46" s="655"/>
      <c r="C46" s="655"/>
      <c r="D46" s="655"/>
      <c r="E46" s="655"/>
      <c r="F46" s="655"/>
      <c r="G46" s="655"/>
      <c r="H46" s="655"/>
      <c r="I46" s="655"/>
      <c r="J46" s="553">
        <v>0</v>
      </c>
      <c r="K46" s="553"/>
      <c r="L46" s="659"/>
      <c r="M46" s="665"/>
      <c r="N46" s="666"/>
      <c r="O46" s="553">
        <v>0</v>
      </c>
      <c r="P46" s="659"/>
      <c r="Q46" s="660"/>
      <c r="R46" s="661"/>
      <c r="S46" s="665"/>
      <c r="T46" s="665"/>
      <c r="U46" s="666"/>
      <c r="V46" s="553">
        <v>0</v>
      </c>
      <c r="W46" s="553">
        <f t="shared" si="4"/>
        <v>0</v>
      </c>
      <c r="X46" s="659"/>
      <c r="Y46" s="665"/>
      <c r="Z46" s="666"/>
      <c r="AA46" s="659"/>
      <c r="AB46" s="665"/>
      <c r="AC46" s="666"/>
      <c r="AD46" s="516"/>
      <c r="AE46" s="553">
        <v>0</v>
      </c>
      <c r="AF46" s="553">
        <v>0</v>
      </c>
      <c r="AG46" s="553">
        <v>0</v>
      </c>
      <c r="AH46" s="553">
        <f t="shared" si="5"/>
        <v>0</v>
      </c>
    </row>
    <row r="49" spans="1:36">
      <c r="E49" s="1"/>
      <c r="F49" s="1"/>
    </row>
    <row r="50" spans="1:36" ht="13.5" thickBot="1">
      <c r="F50" s="1"/>
      <c r="G50" s="1"/>
      <c r="H50" s="126"/>
    </row>
    <row r="51" spans="1:36" ht="13.9" customHeight="1">
      <c r="A51" s="641" t="s">
        <v>406</v>
      </c>
      <c r="B51" s="642"/>
      <c r="C51" s="642"/>
      <c r="D51" s="642"/>
      <c r="E51" s="642"/>
      <c r="F51" s="642"/>
      <c r="G51" s="642"/>
      <c r="H51" s="644"/>
      <c r="J51" s="641" t="s">
        <v>407</v>
      </c>
      <c r="K51" s="642"/>
      <c r="L51" s="642"/>
      <c r="M51" s="642"/>
      <c r="N51" s="642"/>
      <c r="O51" s="642"/>
      <c r="P51" s="642"/>
      <c r="Q51" s="642"/>
      <c r="R51" s="643"/>
      <c r="T51" s="641" t="s">
        <v>409</v>
      </c>
      <c r="U51" s="642"/>
      <c r="V51" s="642"/>
      <c r="W51" s="642"/>
      <c r="X51" s="642"/>
      <c r="Y51" s="642"/>
      <c r="Z51" s="642"/>
      <c r="AA51" s="642"/>
      <c r="AB51" s="643"/>
      <c r="AD51" s="394"/>
      <c r="AE51" s="394"/>
      <c r="AF51" s="394"/>
      <c r="AG51" s="394"/>
      <c r="AH51" s="394"/>
      <c r="AI51" s="394"/>
      <c r="AJ51" s="394"/>
    </row>
    <row r="52" spans="1:36" ht="4.9000000000000004" customHeight="1">
      <c r="A52" s="373"/>
      <c r="B52" s="128"/>
      <c r="C52" s="128"/>
      <c r="D52" s="128"/>
      <c r="E52" s="128"/>
      <c r="F52" s="128"/>
      <c r="G52" s="128"/>
      <c r="H52" s="374"/>
      <c r="J52" s="373"/>
      <c r="K52" s="128"/>
      <c r="L52" s="128"/>
      <c r="M52" s="128"/>
      <c r="N52" s="128"/>
      <c r="O52" s="128"/>
      <c r="P52" s="128"/>
      <c r="Q52" s="129"/>
      <c r="R52" s="368"/>
      <c r="T52" s="373"/>
      <c r="U52" s="128"/>
      <c r="V52" s="128"/>
      <c r="W52" s="128"/>
      <c r="X52" s="128"/>
      <c r="Y52" s="128"/>
      <c r="Z52" s="128"/>
      <c r="AA52" s="129"/>
      <c r="AB52" s="368"/>
      <c r="AD52" s="1"/>
      <c r="AE52" s="1"/>
      <c r="AF52" s="1"/>
      <c r="AG52" s="1"/>
      <c r="AH52" s="1"/>
      <c r="AI52" s="1"/>
      <c r="AJ52" s="1"/>
    </row>
    <row r="53" spans="1:36" ht="13.9" customHeight="1">
      <c r="A53" s="648" t="s">
        <v>410</v>
      </c>
      <c r="B53" s="649"/>
      <c r="C53" s="649"/>
      <c r="D53" s="649"/>
      <c r="E53" s="649"/>
      <c r="F53" s="649"/>
      <c r="G53" s="649"/>
      <c r="H53" s="650"/>
      <c r="J53" s="648" t="s">
        <v>420</v>
      </c>
      <c r="K53" s="649"/>
      <c r="L53" s="649"/>
      <c r="M53" s="649"/>
      <c r="N53" s="649"/>
      <c r="O53" s="649"/>
      <c r="P53" s="649"/>
      <c r="Q53" s="649"/>
      <c r="R53" s="650"/>
      <c r="T53" s="699" t="s">
        <v>440</v>
      </c>
      <c r="U53" s="700"/>
      <c r="V53" s="700"/>
      <c r="W53" s="700"/>
      <c r="X53" s="700"/>
      <c r="Y53" s="700"/>
      <c r="Z53" s="700"/>
      <c r="AA53" s="700"/>
      <c r="AB53" s="701"/>
      <c r="AD53" s="391"/>
      <c r="AE53" s="391"/>
      <c r="AF53" s="391"/>
      <c r="AG53" s="392"/>
      <c r="AH53" s="392"/>
      <c r="AI53" s="393"/>
      <c r="AJ53" s="392"/>
    </row>
    <row r="54" spans="1:36" ht="13.9" customHeight="1">
      <c r="A54" s="648" t="s">
        <v>411</v>
      </c>
      <c r="B54" s="649"/>
      <c r="C54" s="649"/>
      <c r="D54" s="649"/>
      <c r="E54" s="649"/>
      <c r="F54" s="649"/>
      <c r="G54" s="649"/>
      <c r="H54" s="650"/>
      <c r="J54" s="648" t="s">
        <v>421</v>
      </c>
      <c r="K54" s="649"/>
      <c r="L54" s="649"/>
      <c r="M54" s="649"/>
      <c r="N54" s="649"/>
      <c r="O54" s="649"/>
      <c r="P54" s="649"/>
      <c r="Q54" s="649"/>
      <c r="R54" s="650"/>
      <c r="T54" s="699" t="s">
        <v>442</v>
      </c>
      <c r="U54" s="700"/>
      <c r="V54" s="700"/>
      <c r="W54" s="700"/>
      <c r="X54" s="700"/>
      <c r="Y54" s="700"/>
      <c r="Z54" s="700"/>
      <c r="AA54" s="700"/>
      <c r="AB54" s="701"/>
      <c r="AD54" s="391"/>
      <c r="AE54" s="391"/>
      <c r="AF54" s="391"/>
      <c r="AG54" s="392"/>
      <c r="AH54" s="392"/>
      <c r="AI54" s="392"/>
      <c r="AJ54" s="392"/>
    </row>
    <row r="55" spans="1:36" ht="13.9" customHeight="1">
      <c r="A55" s="648" t="s">
        <v>412</v>
      </c>
      <c r="B55" s="649"/>
      <c r="C55" s="649"/>
      <c r="D55" s="649"/>
      <c r="E55" s="649"/>
      <c r="F55" s="649"/>
      <c r="G55" s="649"/>
      <c r="H55" s="650"/>
      <c r="J55" s="648" t="s">
        <v>422</v>
      </c>
      <c r="K55" s="649"/>
      <c r="L55" s="649"/>
      <c r="M55" s="649"/>
      <c r="N55" s="649"/>
      <c r="O55" s="649"/>
      <c r="P55" s="649"/>
      <c r="Q55" s="649"/>
      <c r="R55" s="650"/>
      <c r="T55" s="699" t="s">
        <v>441</v>
      </c>
      <c r="U55" s="700"/>
      <c r="V55" s="700"/>
      <c r="W55" s="700"/>
      <c r="X55" s="700"/>
      <c r="Y55" s="700"/>
      <c r="Z55" s="700"/>
      <c r="AA55" s="700"/>
      <c r="AB55" s="701"/>
      <c r="AD55" s="391"/>
      <c r="AE55" s="391"/>
      <c r="AF55" s="391"/>
      <c r="AG55" s="392"/>
      <c r="AH55" s="392"/>
      <c r="AI55" s="392"/>
      <c r="AJ55" s="392"/>
    </row>
    <row r="56" spans="1:36" ht="13.9" customHeight="1">
      <c r="A56" s="648" t="s">
        <v>413</v>
      </c>
      <c r="B56" s="649"/>
      <c r="C56" s="649"/>
      <c r="D56" s="649"/>
      <c r="E56" s="649"/>
      <c r="F56" s="649"/>
      <c r="G56" s="649"/>
      <c r="H56" s="650"/>
      <c r="J56" s="648" t="s">
        <v>423</v>
      </c>
      <c r="K56" s="649"/>
      <c r="L56" s="649"/>
      <c r="M56" s="649"/>
      <c r="N56" s="649"/>
      <c r="O56" s="649"/>
      <c r="P56" s="649"/>
      <c r="Q56" s="649"/>
      <c r="R56" s="650"/>
      <c r="T56" s="699" t="s">
        <v>443</v>
      </c>
      <c r="U56" s="700"/>
      <c r="V56" s="700"/>
      <c r="W56" s="700"/>
      <c r="X56" s="700"/>
      <c r="Y56" s="700"/>
      <c r="Z56" s="700"/>
      <c r="AA56" s="700"/>
      <c r="AB56" s="701"/>
      <c r="AD56" s="391"/>
      <c r="AE56" s="391"/>
      <c r="AF56" s="391"/>
      <c r="AG56" s="392"/>
      <c r="AH56" s="392"/>
      <c r="AI56" s="392"/>
      <c r="AJ56" s="392"/>
    </row>
    <row r="57" spans="1:36" ht="28.15" customHeight="1">
      <c r="A57" s="648" t="s">
        <v>414</v>
      </c>
      <c r="B57" s="649"/>
      <c r="C57" s="649"/>
      <c r="D57" s="649"/>
      <c r="E57" s="649"/>
      <c r="F57" s="649"/>
      <c r="G57" s="649"/>
      <c r="H57" s="650"/>
      <c r="J57" s="648" t="s">
        <v>424</v>
      </c>
      <c r="K57" s="649"/>
      <c r="L57" s="649"/>
      <c r="M57" s="649"/>
      <c r="N57" s="649"/>
      <c r="O57" s="649"/>
      <c r="P57" s="649"/>
      <c r="Q57" s="649"/>
      <c r="R57" s="650"/>
      <c r="T57" s="699" t="s">
        <v>444</v>
      </c>
      <c r="U57" s="700"/>
      <c r="V57" s="700"/>
      <c r="W57" s="700"/>
      <c r="X57" s="700"/>
      <c r="Y57" s="700"/>
      <c r="Z57" s="700"/>
      <c r="AA57" s="700"/>
      <c r="AB57" s="701"/>
      <c r="AD57" s="391"/>
      <c r="AE57" s="391"/>
      <c r="AF57" s="391"/>
      <c r="AG57" s="392"/>
      <c r="AH57" s="392"/>
      <c r="AI57" s="392"/>
      <c r="AJ57" s="392"/>
    </row>
    <row r="58" spans="1:36" ht="28.15" customHeight="1">
      <c r="A58" s="648" t="s">
        <v>415</v>
      </c>
      <c r="B58" s="649"/>
      <c r="C58" s="649"/>
      <c r="D58" s="649"/>
      <c r="E58" s="649"/>
      <c r="F58" s="649"/>
      <c r="G58" s="649"/>
      <c r="H58" s="650"/>
      <c r="J58" s="648" t="s">
        <v>425</v>
      </c>
      <c r="K58" s="649"/>
      <c r="L58" s="649"/>
      <c r="M58" s="649"/>
      <c r="N58" s="649"/>
      <c r="O58" s="649"/>
      <c r="P58" s="649"/>
      <c r="Q58" s="649"/>
      <c r="R58" s="650"/>
      <c r="T58" s="699" t="s">
        <v>446</v>
      </c>
      <c r="U58" s="700"/>
      <c r="V58" s="700"/>
      <c r="W58" s="700"/>
      <c r="X58" s="700"/>
      <c r="Y58" s="700"/>
      <c r="Z58" s="700"/>
      <c r="AA58" s="700"/>
      <c r="AB58" s="701"/>
      <c r="AD58" s="391"/>
      <c r="AE58" s="391"/>
      <c r="AF58" s="391"/>
      <c r="AG58" s="392"/>
      <c r="AH58" s="392"/>
      <c r="AI58" s="392"/>
      <c r="AJ58" s="392"/>
    </row>
    <row r="59" spans="1:36" ht="28.15" customHeight="1">
      <c r="A59" s="648" t="s">
        <v>416</v>
      </c>
      <c r="B59" s="649"/>
      <c r="C59" s="649"/>
      <c r="D59" s="649"/>
      <c r="E59" s="649"/>
      <c r="F59" s="649"/>
      <c r="G59" s="649"/>
      <c r="H59" s="650"/>
      <c r="J59" s="648" t="s">
        <v>426</v>
      </c>
      <c r="K59" s="649"/>
      <c r="L59" s="649"/>
      <c r="M59" s="649"/>
      <c r="N59" s="649"/>
      <c r="O59" s="649"/>
      <c r="P59" s="649"/>
      <c r="Q59" s="649"/>
      <c r="R59" s="650"/>
      <c r="T59" s="699" t="s">
        <v>447</v>
      </c>
      <c r="U59" s="700"/>
      <c r="V59" s="700"/>
      <c r="W59" s="700"/>
      <c r="X59" s="700"/>
      <c r="Y59" s="700"/>
      <c r="Z59" s="700"/>
      <c r="AA59" s="700"/>
      <c r="AB59" s="701"/>
      <c r="AD59" s="391"/>
      <c r="AE59" s="391"/>
      <c r="AF59" s="391"/>
      <c r="AG59" s="392"/>
      <c r="AH59" s="392"/>
      <c r="AI59" s="392"/>
      <c r="AJ59" s="392"/>
    </row>
    <row r="60" spans="1:36" ht="28.15" customHeight="1">
      <c r="A60" s="648" t="s">
        <v>417</v>
      </c>
      <c r="B60" s="649"/>
      <c r="C60" s="649"/>
      <c r="D60" s="649"/>
      <c r="E60" s="649"/>
      <c r="F60" s="649"/>
      <c r="G60" s="649"/>
      <c r="H60" s="650"/>
      <c r="J60" s="648" t="s">
        <v>427</v>
      </c>
      <c r="K60" s="649"/>
      <c r="L60" s="649"/>
      <c r="M60" s="649"/>
      <c r="N60" s="649"/>
      <c r="O60" s="649"/>
      <c r="P60" s="649"/>
      <c r="Q60" s="649"/>
      <c r="R60" s="650"/>
      <c r="T60" s="699" t="s">
        <v>448</v>
      </c>
      <c r="U60" s="700"/>
      <c r="V60" s="700"/>
      <c r="W60" s="700"/>
      <c r="X60" s="700"/>
      <c r="Y60" s="700"/>
      <c r="Z60" s="700"/>
      <c r="AA60" s="700"/>
      <c r="AB60" s="701"/>
      <c r="AD60" s="391"/>
      <c r="AE60" s="391"/>
      <c r="AF60" s="391"/>
      <c r="AG60" s="392"/>
      <c r="AH60" s="392"/>
      <c r="AI60" s="392"/>
      <c r="AJ60" s="392"/>
    </row>
    <row r="61" spans="1:36" ht="28.15" customHeight="1">
      <c r="A61" s="648" t="s">
        <v>418</v>
      </c>
      <c r="B61" s="649"/>
      <c r="C61" s="649"/>
      <c r="D61" s="649"/>
      <c r="E61" s="649"/>
      <c r="F61" s="649"/>
      <c r="G61" s="649"/>
      <c r="H61" s="650"/>
      <c r="J61" s="648" t="s">
        <v>428</v>
      </c>
      <c r="K61" s="649"/>
      <c r="L61" s="649"/>
      <c r="M61" s="649"/>
      <c r="N61" s="649"/>
      <c r="O61" s="649"/>
      <c r="P61" s="649"/>
      <c r="Q61" s="649"/>
      <c r="R61" s="650"/>
      <c r="T61" s="699" t="s">
        <v>449</v>
      </c>
      <c r="U61" s="700"/>
      <c r="V61" s="700"/>
      <c r="W61" s="700"/>
      <c r="X61" s="700"/>
      <c r="Y61" s="700"/>
      <c r="Z61" s="700"/>
      <c r="AA61" s="700"/>
      <c r="AB61" s="701"/>
      <c r="AC61" s="1"/>
      <c r="AD61" s="391"/>
      <c r="AE61" s="391"/>
      <c r="AF61" s="391"/>
      <c r="AG61" s="392"/>
      <c r="AH61" s="392"/>
      <c r="AI61" s="392"/>
      <c r="AJ61" s="392"/>
    </row>
    <row r="62" spans="1:36" ht="28.15" customHeight="1" thickBot="1">
      <c r="A62" s="690" t="s">
        <v>419</v>
      </c>
      <c r="B62" s="691"/>
      <c r="C62" s="691"/>
      <c r="D62" s="691"/>
      <c r="E62" s="691"/>
      <c r="F62" s="691"/>
      <c r="G62" s="691"/>
      <c r="H62" s="692"/>
      <c r="J62" s="690" t="s">
        <v>429</v>
      </c>
      <c r="K62" s="691"/>
      <c r="L62" s="691"/>
      <c r="M62" s="691"/>
      <c r="N62" s="691"/>
      <c r="O62" s="691"/>
      <c r="P62" s="691"/>
      <c r="Q62" s="691"/>
      <c r="R62" s="692"/>
      <c r="T62" s="696" t="s">
        <v>445</v>
      </c>
      <c r="U62" s="697"/>
      <c r="V62" s="697"/>
      <c r="W62" s="697"/>
      <c r="X62" s="697"/>
      <c r="Y62" s="697"/>
      <c r="Z62" s="697"/>
      <c r="AA62" s="697"/>
      <c r="AB62" s="698"/>
      <c r="AD62" s="391"/>
      <c r="AE62" s="391"/>
      <c r="AF62" s="391"/>
      <c r="AG62" s="392"/>
      <c r="AH62" s="392"/>
      <c r="AI62" s="393"/>
      <c r="AJ62" s="392"/>
    </row>
    <row r="63" spans="1:36" ht="27.6" customHeight="1" thickBot="1">
      <c r="AD63" s="391"/>
      <c r="AE63" s="391"/>
      <c r="AF63" s="391"/>
      <c r="AG63" s="391"/>
      <c r="AH63" s="391"/>
      <c r="AI63" s="391"/>
      <c r="AJ63" s="391"/>
    </row>
    <row r="64" spans="1:36" ht="13.9" customHeight="1">
      <c r="J64" s="645" t="s">
        <v>59</v>
      </c>
      <c r="K64" s="646"/>
      <c r="L64" s="646"/>
      <c r="M64" s="646"/>
      <c r="N64" s="646"/>
      <c r="O64" s="647"/>
      <c r="T64" s="708" t="s">
        <v>470</v>
      </c>
      <c r="U64" s="709"/>
      <c r="V64" s="709"/>
      <c r="W64" s="709"/>
      <c r="X64" s="709"/>
      <c r="Y64" s="709"/>
      <c r="Z64" s="709"/>
      <c r="AA64" s="710"/>
    </row>
    <row r="65" spans="6:27" ht="13.9" customHeight="1">
      <c r="J65" s="693" t="s">
        <v>430</v>
      </c>
      <c r="K65" s="694"/>
      <c r="L65" s="694"/>
      <c r="M65" s="694"/>
      <c r="N65" s="694"/>
      <c r="O65" s="695"/>
      <c r="T65" s="702"/>
      <c r="U65" s="703"/>
      <c r="V65" s="703"/>
      <c r="W65" s="703"/>
      <c r="X65" s="703"/>
      <c r="Y65" s="703"/>
      <c r="Z65" s="703"/>
      <c r="AA65" s="704"/>
    </row>
    <row r="66" spans="6:27" ht="13.9" customHeight="1">
      <c r="J66" s="693" t="s">
        <v>431</v>
      </c>
      <c r="K66" s="694"/>
      <c r="L66" s="694">
        <v>-0.17</v>
      </c>
      <c r="M66" s="694"/>
      <c r="N66" s="694"/>
      <c r="O66" s="695"/>
      <c r="T66" s="702" t="s">
        <v>471</v>
      </c>
      <c r="U66" s="703"/>
      <c r="V66" s="703"/>
      <c r="W66" s="703"/>
      <c r="X66" s="703"/>
      <c r="Y66" s="703"/>
      <c r="Z66" s="703"/>
      <c r="AA66" s="704"/>
    </row>
    <row r="67" spans="6:27" ht="13.9" customHeight="1">
      <c r="J67" s="693" t="s">
        <v>432</v>
      </c>
      <c r="K67" s="694"/>
      <c r="L67" s="694">
        <v>0</v>
      </c>
      <c r="M67" s="694"/>
      <c r="N67" s="694"/>
      <c r="O67" s="695"/>
      <c r="T67" s="702" t="s">
        <v>472</v>
      </c>
      <c r="U67" s="703"/>
      <c r="V67" s="703"/>
      <c r="W67" s="703"/>
      <c r="X67" s="703"/>
      <c r="Y67" s="703"/>
      <c r="Z67" s="703"/>
      <c r="AA67" s="704"/>
    </row>
    <row r="68" spans="6:27" ht="13.9" customHeight="1">
      <c r="J68" s="693" t="s">
        <v>433</v>
      </c>
      <c r="K68" s="694"/>
      <c r="L68" s="694">
        <v>0.17</v>
      </c>
      <c r="M68" s="694"/>
      <c r="N68" s="694"/>
      <c r="O68" s="695"/>
      <c r="T68" s="702" t="s">
        <v>473</v>
      </c>
      <c r="U68" s="703"/>
      <c r="V68" s="703"/>
      <c r="W68" s="703"/>
      <c r="X68" s="703"/>
      <c r="Y68" s="703"/>
      <c r="Z68" s="703"/>
      <c r="AA68" s="704"/>
    </row>
    <row r="69" spans="6:27" ht="13.9" customHeight="1">
      <c r="J69" s="693" t="s">
        <v>434</v>
      </c>
      <c r="K69" s="694"/>
      <c r="L69" s="694">
        <v>0.33</v>
      </c>
      <c r="M69" s="694"/>
      <c r="N69" s="694"/>
      <c r="O69" s="695"/>
      <c r="T69" s="702" t="s">
        <v>474</v>
      </c>
      <c r="U69" s="703"/>
      <c r="V69" s="703"/>
      <c r="W69" s="703"/>
      <c r="X69" s="703"/>
      <c r="Y69" s="703"/>
      <c r="Z69" s="703"/>
      <c r="AA69" s="704"/>
    </row>
    <row r="70" spans="6:27" ht="13.9" customHeight="1">
      <c r="J70" s="693" t="s">
        <v>435</v>
      </c>
      <c r="K70" s="694"/>
      <c r="L70" s="694">
        <v>0.5</v>
      </c>
      <c r="M70" s="694"/>
      <c r="N70" s="694"/>
      <c r="O70" s="695"/>
      <c r="T70" s="702" t="s">
        <v>475</v>
      </c>
      <c r="U70" s="703"/>
      <c r="V70" s="703"/>
      <c r="W70" s="703"/>
      <c r="X70" s="703"/>
      <c r="Y70" s="703"/>
      <c r="Z70" s="703"/>
      <c r="AA70" s="704"/>
    </row>
    <row r="71" spans="6:27" ht="13.9" customHeight="1">
      <c r="J71" s="693" t="s">
        <v>436</v>
      </c>
      <c r="K71" s="694"/>
      <c r="L71" s="694">
        <v>0.67</v>
      </c>
      <c r="M71" s="694"/>
      <c r="N71" s="694"/>
      <c r="O71" s="695"/>
      <c r="T71" s="702" t="s">
        <v>476</v>
      </c>
      <c r="U71" s="703"/>
      <c r="V71" s="703"/>
      <c r="W71" s="703"/>
      <c r="X71" s="703"/>
      <c r="Y71" s="703"/>
      <c r="Z71" s="703"/>
      <c r="AA71" s="704"/>
    </row>
    <row r="72" spans="6:27" ht="13.9" customHeight="1">
      <c r="J72" s="693" t="s">
        <v>437</v>
      </c>
      <c r="K72" s="694"/>
      <c r="L72" s="694">
        <v>0.83</v>
      </c>
      <c r="M72" s="694"/>
      <c r="N72" s="694"/>
      <c r="O72" s="695"/>
      <c r="T72" s="702" t="s">
        <v>477</v>
      </c>
      <c r="U72" s="703"/>
      <c r="V72" s="703"/>
      <c r="W72" s="703"/>
      <c r="X72" s="703"/>
      <c r="Y72" s="703"/>
      <c r="Z72" s="703"/>
      <c r="AA72" s="704"/>
    </row>
    <row r="73" spans="6:27" ht="13.9" customHeight="1">
      <c r="J73" s="693" t="s">
        <v>438</v>
      </c>
      <c r="K73" s="694"/>
      <c r="L73" s="694">
        <v>1.17</v>
      </c>
      <c r="M73" s="694"/>
      <c r="N73" s="694"/>
      <c r="O73" s="695"/>
      <c r="T73" s="702" t="s">
        <v>478</v>
      </c>
      <c r="U73" s="703"/>
      <c r="V73" s="703"/>
      <c r="W73" s="703"/>
      <c r="X73" s="703"/>
      <c r="Y73" s="703"/>
      <c r="Z73" s="703"/>
      <c r="AA73" s="704"/>
    </row>
    <row r="74" spans="6:27" ht="13.9" customHeight="1">
      <c r="I74" s="127"/>
      <c r="J74" s="693" t="s">
        <v>439</v>
      </c>
      <c r="K74" s="694"/>
      <c r="L74" s="694" t="s">
        <v>408</v>
      </c>
      <c r="M74" s="694"/>
      <c r="N74" s="694"/>
      <c r="O74" s="695"/>
      <c r="T74" s="702" t="s">
        <v>479</v>
      </c>
      <c r="U74" s="703"/>
      <c r="V74" s="703"/>
      <c r="W74" s="703"/>
      <c r="X74" s="703"/>
      <c r="Y74" s="703"/>
      <c r="Z74" s="703"/>
      <c r="AA74" s="704"/>
    </row>
    <row r="75" spans="6:27" ht="13.9" customHeight="1" thickBot="1">
      <c r="I75" s="1"/>
      <c r="J75" s="369" t="s">
        <v>60</v>
      </c>
      <c r="K75" s="370"/>
      <c r="L75" s="370"/>
      <c r="M75" s="370"/>
      <c r="N75" s="371"/>
      <c r="O75" s="372"/>
      <c r="T75" s="702" t="s">
        <v>480</v>
      </c>
      <c r="U75" s="703"/>
      <c r="V75" s="703"/>
      <c r="W75" s="703"/>
      <c r="X75" s="703"/>
      <c r="Y75" s="703"/>
      <c r="Z75" s="703"/>
      <c r="AA75" s="704"/>
    </row>
    <row r="76" spans="6:27" ht="13.5" thickBot="1">
      <c r="I76" s="1"/>
      <c r="J76" s="1"/>
      <c r="K76" s="1"/>
      <c r="T76" s="705" t="s">
        <v>481</v>
      </c>
      <c r="U76" s="706"/>
      <c r="V76" s="706"/>
      <c r="W76" s="706"/>
      <c r="X76" s="706"/>
      <c r="Y76" s="706"/>
      <c r="Z76" s="706"/>
      <c r="AA76" s="707"/>
    </row>
    <row r="77" spans="6:27">
      <c r="F77" s="1"/>
      <c r="G77" s="1"/>
      <c r="H77" s="126"/>
      <c r="I77" s="1"/>
      <c r="J77" s="1"/>
      <c r="K77" s="1"/>
    </row>
    <row r="78" spans="6:27">
      <c r="F78" s="1"/>
      <c r="G78" s="1"/>
      <c r="H78" s="121"/>
      <c r="I78" s="1"/>
      <c r="J78" s="1"/>
      <c r="K78" s="1"/>
    </row>
    <row r="79" spans="6:27">
      <c r="F79" s="1"/>
      <c r="G79" s="1"/>
      <c r="H79" s="121"/>
      <c r="I79" s="1"/>
      <c r="J79" s="1"/>
      <c r="K79" s="1"/>
    </row>
    <row r="80" spans="6:27">
      <c r="F80" s="1"/>
      <c r="G80" s="1"/>
      <c r="H80" s="122"/>
    </row>
    <row r="81" spans="1:30">
      <c r="A81" s="1"/>
      <c r="B81" s="1"/>
      <c r="C81" s="1"/>
      <c r="D81" s="1"/>
      <c r="E81" s="1"/>
      <c r="F81" s="1"/>
      <c r="G81" s="1"/>
      <c r="H81" s="122"/>
    </row>
    <row r="82" spans="1:30" ht="15" customHeight="1">
      <c r="A82" s="394"/>
      <c r="B82" s="394"/>
      <c r="C82" s="394"/>
      <c r="D82" s="394"/>
      <c r="E82" s="394"/>
      <c r="F82" s="394"/>
      <c r="G82" s="394"/>
      <c r="H82" s="121"/>
    </row>
    <row r="83" spans="1:30" ht="15" customHeight="1">
      <c r="A83" s="391"/>
      <c r="B83" s="391"/>
      <c r="C83" s="391"/>
      <c r="D83" s="392"/>
      <c r="E83" s="392"/>
      <c r="F83" s="393"/>
      <c r="G83" s="392"/>
      <c r="H83" s="121"/>
    </row>
    <row r="84" spans="1:30" ht="15" customHeight="1">
      <c r="A84" s="391"/>
      <c r="B84" s="391"/>
      <c r="C84" s="391"/>
      <c r="D84" s="392"/>
      <c r="E84" s="392"/>
      <c r="F84" s="392"/>
      <c r="G84" s="392"/>
      <c r="H84" s="121"/>
    </row>
    <row r="85" spans="1:30" ht="15" customHeight="1">
      <c r="A85" s="391"/>
      <c r="B85" s="391"/>
      <c r="C85" s="391"/>
      <c r="D85" s="392"/>
      <c r="E85" s="392"/>
      <c r="F85" s="392"/>
      <c r="G85" s="392"/>
      <c r="H85" s="121"/>
    </row>
    <row r="86" spans="1:30" ht="15" customHeight="1">
      <c r="A86" s="391"/>
      <c r="B86" s="391"/>
      <c r="C86" s="391"/>
      <c r="D86" s="392"/>
      <c r="E86" s="392"/>
      <c r="F86" s="392"/>
      <c r="G86" s="392"/>
      <c r="H86" s="121"/>
    </row>
    <row r="87" spans="1:30" ht="15" customHeight="1">
      <c r="A87" s="391"/>
      <c r="B87" s="391"/>
      <c r="C87" s="391"/>
      <c r="D87" s="392"/>
      <c r="E87" s="392"/>
      <c r="F87" s="392"/>
      <c r="G87" s="392"/>
    </row>
    <row r="88" spans="1:30" ht="15" customHeight="1">
      <c r="A88" s="391"/>
      <c r="B88" s="391"/>
      <c r="C88" s="391"/>
      <c r="D88" s="392"/>
      <c r="E88" s="392"/>
      <c r="F88" s="392"/>
      <c r="G88" s="392"/>
      <c r="W88" s="1"/>
      <c r="X88" s="1"/>
      <c r="Y88" s="1"/>
      <c r="Z88" s="1"/>
      <c r="AA88" s="1"/>
      <c r="AB88" s="1"/>
      <c r="AC88" s="1"/>
      <c r="AD88" s="1"/>
    </row>
    <row r="89" spans="1:30" ht="15" customHeight="1">
      <c r="A89" s="391"/>
      <c r="B89" s="391"/>
      <c r="C89" s="391"/>
      <c r="D89" s="392"/>
      <c r="E89" s="392"/>
      <c r="F89" s="392"/>
      <c r="G89" s="392"/>
    </row>
    <row r="90" spans="1:30" ht="15" customHeight="1">
      <c r="A90" s="391"/>
      <c r="B90" s="391"/>
      <c r="C90" s="391"/>
      <c r="D90" s="392"/>
      <c r="E90" s="392"/>
      <c r="F90" s="392"/>
      <c r="G90" s="392"/>
    </row>
    <row r="91" spans="1:30" ht="15" customHeight="1">
      <c r="A91" s="391"/>
      <c r="B91" s="391"/>
      <c r="C91" s="391"/>
      <c r="D91" s="392"/>
      <c r="E91" s="392"/>
      <c r="F91" s="392"/>
      <c r="G91" s="392"/>
    </row>
    <row r="92" spans="1:30" ht="15" customHeight="1">
      <c r="A92" s="391"/>
      <c r="B92" s="391"/>
      <c r="C92" s="391"/>
      <c r="D92" s="392"/>
      <c r="E92" s="392"/>
      <c r="F92" s="393"/>
      <c r="G92" s="392"/>
    </row>
    <row r="93" spans="1:30" ht="15" customHeight="1">
      <c r="A93" s="391"/>
      <c r="B93" s="391"/>
      <c r="C93" s="391"/>
      <c r="D93" s="391"/>
      <c r="E93" s="391"/>
      <c r="F93" s="391"/>
      <c r="G93" s="391"/>
      <c r="I93" s="313"/>
      <c r="J93" s="313"/>
      <c r="K93" s="313"/>
      <c r="L93" s="313"/>
      <c r="M93" s="313"/>
      <c r="N93" s="313"/>
      <c r="O93" s="313"/>
      <c r="P93" s="313"/>
    </row>
    <row r="94" spans="1:30">
      <c r="A94" s="1"/>
      <c r="B94" s="1"/>
      <c r="C94" s="1"/>
      <c r="D94" s="1"/>
      <c r="E94" s="1"/>
      <c r="F94" s="1"/>
      <c r="G94" s="1"/>
    </row>
    <row r="96" spans="1:30">
      <c r="A96" s="1"/>
      <c r="B96" s="1"/>
      <c r="C96" s="1"/>
      <c r="D96" s="1"/>
      <c r="E96" s="1"/>
      <c r="F96" s="1"/>
    </row>
    <row r="97" spans="1:6">
      <c r="A97" s="375"/>
      <c r="B97" s="375"/>
      <c r="C97" s="375"/>
      <c r="D97" s="1"/>
      <c r="E97" s="1"/>
      <c r="F97" s="1"/>
    </row>
    <row r="98" spans="1:6">
      <c r="A98" s="143"/>
      <c r="B98" s="143"/>
      <c r="C98" s="143"/>
      <c r="D98" s="1"/>
      <c r="E98" s="1"/>
      <c r="F98" s="1"/>
    </row>
    <row r="99" spans="1:6">
      <c r="A99" s="145"/>
      <c r="B99" s="144"/>
      <c r="C99" s="144"/>
      <c r="D99" s="1"/>
      <c r="E99" s="1"/>
      <c r="F99" s="1"/>
    </row>
    <row r="100" spans="1:6">
      <c r="A100" s="145"/>
      <c r="B100" s="376"/>
      <c r="C100" s="144"/>
      <c r="D100" s="1"/>
      <c r="E100" s="1"/>
      <c r="F100" s="1"/>
    </row>
    <row r="101" spans="1:6">
      <c r="A101" s="145"/>
      <c r="B101" s="144"/>
      <c r="C101" s="144"/>
      <c r="D101" s="1"/>
      <c r="E101" s="1"/>
      <c r="F101" s="1"/>
    </row>
    <row r="102" spans="1:6">
      <c r="A102" s="145"/>
      <c r="B102" s="144"/>
      <c r="C102" s="144"/>
      <c r="D102" s="1"/>
      <c r="E102" s="1"/>
      <c r="F102" s="1"/>
    </row>
    <row r="103" spans="1:6">
      <c r="A103" s="145"/>
      <c r="B103" s="376"/>
      <c r="C103" s="376"/>
      <c r="D103" s="1"/>
      <c r="E103" s="1"/>
      <c r="F103" s="1"/>
    </row>
    <row r="104" spans="1:6">
      <c r="A104" s="145"/>
      <c r="B104" s="144"/>
      <c r="C104" s="144"/>
      <c r="D104" s="1"/>
      <c r="E104" s="1"/>
      <c r="F104" s="1"/>
    </row>
    <row r="105" spans="1:6">
      <c r="A105" s="145"/>
      <c r="B105" s="144"/>
      <c r="C105" s="144"/>
      <c r="D105" s="1"/>
      <c r="E105" s="1"/>
      <c r="F105" s="1"/>
    </row>
    <row r="106" spans="1:6">
      <c r="A106" s="144"/>
      <c r="B106" s="144"/>
      <c r="C106" s="144"/>
      <c r="D106" s="1"/>
      <c r="E106" s="1"/>
      <c r="F106" s="1"/>
    </row>
    <row r="107" spans="1:6">
      <c r="A107" s="143"/>
      <c r="B107" s="143"/>
      <c r="C107" s="143"/>
      <c r="D107" s="1"/>
      <c r="E107" s="1"/>
      <c r="F107" s="1"/>
    </row>
    <row r="108" spans="1:6">
      <c r="A108" s="144"/>
      <c r="B108" s="1"/>
      <c r="C108" s="1"/>
      <c r="D108" s="1"/>
      <c r="E108" s="1"/>
      <c r="F108" s="1"/>
    </row>
    <row r="109" spans="1:6">
      <c r="A109" s="1"/>
      <c r="B109" s="1"/>
      <c r="C109" s="1"/>
      <c r="D109" s="1"/>
      <c r="E109" s="1"/>
      <c r="F109" s="1"/>
    </row>
  </sheetData>
  <mergeCells count="372">
    <mergeCell ref="X23:Z23"/>
    <mergeCell ref="AA23:AC23"/>
    <mergeCell ref="A23:C23"/>
    <mergeCell ref="D23:F23"/>
    <mergeCell ref="G23:I23"/>
    <mergeCell ref="L23:N23"/>
    <mergeCell ref="P23:R23"/>
    <mergeCell ref="S23:U23"/>
    <mergeCell ref="A22:C22"/>
    <mergeCell ref="D22:F22"/>
    <mergeCell ref="G22:I22"/>
    <mergeCell ref="L22:N22"/>
    <mergeCell ref="P22:R22"/>
    <mergeCell ref="S22:U22"/>
    <mergeCell ref="A21:C21"/>
    <mergeCell ref="D21:F21"/>
    <mergeCell ref="G21:I21"/>
    <mergeCell ref="L21:N21"/>
    <mergeCell ref="P21:R21"/>
    <mergeCell ref="S21:U21"/>
    <mergeCell ref="A20:C20"/>
    <mergeCell ref="D20:F20"/>
    <mergeCell ref="G20:I20"/>
    <mergeCell ref="L20:N20"/>
    <mergeCell ref="P20:R20"/>
    <mergeCell ref="S20:U20"/>
    <mergeCell ref="A19:C19"/>
    <mergeCell ref="D19:F19"/>
    <mergeCell ref="G19:I19"/>
    <mergeCell ref="L19:N19"/>
    <mergeCell ref="P19:R19"/>
    <mergeCell ref="S19:U19"/>
    <mergeCell ref="D18:F18"/>
    <mergeCell ref="G18:I18"/>
    <mergeCell ref="L18:N18"/>
    <mergeCell ref="P18:R18"/>
    <mergeCell ref="S18:U18"/>
    <mergeCell ref="X18:Z18"/>
    <mergeCell ref="T67:AA67"/>
    <mergeCell ref="T68:AA68"/>
    <mergeCell ref="P17:R17"/>
    <mergeCell ref="S17:U17"/>
    <mergeCell ref="X17:Z17"/>
    <mergeCell ref="AA17:AC17"/>
    <mergeCell ref="AA18:AC18"/>
    <mergeCell ref="X19:Z19"/>
    <mergeCell ref="X20:Z20"/>
    <mergeCell ref="AA20:AC20"/>
    <mergeCell ref="T59:AB59"/>
    <mergeCell ref="T60:AB60"/>
    <mergeCell ref="T61:AB61"/>
    <mergeCell ref="T75:AA75"/>
    <mergeCell ref="T76:AA76"/>
    <mergeCell ref="T69:AA69"/>
    <mergeCell ref="T70:AA70"/>
    <mergeCell ref="T71:AA71"/>
    <mergeCell ref="T72:AA72"/>
    <mergeCell ref="T64:AA64"/>
    <mergeCell ref="T53:AB53"/>
    <mergeCell ref="T54:AB54"/>
    <mergeCell ref="T55:AB55"/>
    <mergeCell ref="T56:AB56"/>
    <mergeCell ref="T57:AB57"/>
    <mergeCell ref="T58:AB58"/>
    <mergeCell ref="J67:O67"/>
    <mergeCell ref="J70:O70"/>
    <mergeCell ref="J71:O71"/>
    <mergeCell ref="J72:O72"/>
    <mergeCell ref="T62:AB62"/>
    <mergeCell ref="J74:O74"/>
    <mergeCell ref="T65:AA65"/>
    <mergeCell ref="T73:AA73"/>
    <mergeCell ref="T74:AA74"/>
    <mergeCell ref="T66:AA66"/>
    <mergeCell ref="J58:R58"/>
    <mergeCell ref="J59:R59"/>
    <mergeCell ref="J60:R60"/>
    <mergeCell ref="J73:O73"/>
    <mergeCell ref="J61:R61"/>
    <mergeCell ref="J62:R62"/>
    <mergeCell ref="J65:O65"/>
    <mergeCell ref="J66:O66"/>
    <mergeCell ref="J68:O68"/>
    <mergeCell ref="J69:O69"/>
    <mergeCell ref="AA9:AC10"/>
    <mergeCell ref="A59:H59"/>
    <mergeCell ref="A60:H60"/>
    <mergeCell ref="A61:H61"/>
    <mergeCell ref="A62:H62"/>
    <mergeCell ref="J53:R53"/>
    <mergeCell ref="J56:R56"/>
    <mergeCell ref="J55:R55"/>
    <mergeCell ref="J54:R54"/>
    <mergeCell ref="J57:R57"/>
    <mergeCell ref="W9:W10"/>
    <mergeCell ref="S9:U10"/>
    <mergeCell ref="O9:O10"/>
    <mergeCell ref="P9:R10"/>
    <mergeCell ref="AD9:AH9"/>
    <mergeCell ref="S11:U11"/>
    <mergeCell ref="X11:Z11"/>
    <mergeCell ref="AA11:AC11"/>
    <mergeCell ref="V9:V10"/>
    <mergeCell ref="X9:Z10"/>
    <mergeCell ref="A11:C11"/>
    <mergeCell ref="D11:F11"/>
    <mergeCell ref="G11:I11"/>
    <mergeCell ref="L11:N11"/>
    <mergeCell ref="A9:C10"/>
    <mergeCell ref="D9:F10"/>
    <mergeCell ref="G9:I10"/>
    <mergeCell ref="J9:J10"/>
    <mergeCell ref="K9:K10"/>
    <mergeCell ref="L9:N10"/>
    <mergeCell ref="A13:C13"/>
    <mergeCell ref="D13:F13"/>
    <mergeCell ref="G13:I13"/>
    <mergeCell ref="L12:N12"/>
    <mergeCell ref="L13:N13"/>
    <mergeCell ref="A12:C12"/>
    <mergeCell ref="D12:F12"/>
    <mergeCell ref="G12:I12"/>
    <mergeCell ref="A14:C14"/>
    <mergeCell ref="D14:F14"/>
    <mergeCell ref="G14:I14"/>
    <mergeCell ref="A15:C15"/>
    <mergeCell ref="D15:F15"/>
    <mergeCell ref="G15:I15"/>
    <mergeCell ref="A16:C16"/>
    <mergeCell ref="D16:F16"/>
    <mergeCell ref="G16:I16"/>
    <mergeCell ref="A24:C24"/>
    <mergeCell ref="D24:F24"/>
    <mergeCell ref="G24:I24"/>
    <mergeCell ref="A17:C17"/>
    <mergeCell ref="D17:F17"/>
    <mergeCell ref="G17:I17"/>
    <mergeCell ref="A18:C18"/>
    <mergeCell ref="A25:C25"/>
    <mergeCell ref="D25:F25"/>
    <mergeCell ref="G25:I25"/>
    <mergeCell ref="A26:C26"/>
    <mergeCell ref="D26:F26"/>
    <mergeCell ref="G26:I26"/>
    <mergeCell ref="S15:U15"/>
    <mergeCell ref="S16:U16"/>
    <mergeCell ref="S24:U24"/>
    <mergeCell ref="S25:U25"/>
    <mergeCell ref="S26:U26"/>
    <mergeCell ref="L14:N14"/>
    <mergeCell ref="L15:N15"/>
    <mergeCell ref="L16:N16"/>
    <mergeCell ref="L24:N24"/>
    <mergeCell ref="L17:N17"/>
    <mergeCell ref="X26:Z26"/>
    <mergeCell ref="X12:Z12"/>
    <mergeCell ref="X13:Z13"/>
    <mergeCell ref="X14:Z14"/>
    <mergeCell ref="X15:Z15"/>
    <mergeCell ref="L25:N25"/>
    <mergeCell ref="L26:N26"/>
    <mergeCell ref="S12:U12"/>
    <mergeCell ref="S13:U13"/>
    <mergeCell ref="S14:U14"/>
    <mergeCell ref="AA12:AC12"/>
    <mergeCell ref="AA13:AC13"/>
    <mergeCell ref="AA14:AC14"/>
    <mergeCell ref="AA15:AC15"/>
    <mergeCell ref="X16:Z16"/>
    <mergeCell ref="X24:Z24"/>
    <mergeCell ref="X21:Z21"/>
    <mergeCell ref="AA21:AC21"/>
    <mergeCell ref="X22:Z22"/>
    <mergeCell ref="AA22:AC22"/>
    <mergeCell ref="A27:C27"/>
    <mergeCell ref="D27:F27"/>
    <mergeCell ref="G27:I27"/>
    <mergeCell ref="L27:N27"/>
    <mergeCell ref="AA16:AC16"/>
    <mergeCell ref="AA24:AC24"/>
    <mergeCell ref="AA25:AC25"/>
    <mergeCell ref="AA26:AC26"/>
    <mergeCell ref="AA19:AC19"/>
    <mergeCell ref="X25:Z25"/>
    <mergeCell ref="S27:U27"/>
    <mergeCell ref="X27:Z27"/>
    <mergeCell ref="AA27:AC27"/>
    <mergeCell ref="A28:C28"/>
    <mergeCell ref="D28:F28"/>
    <mergeCell ref="G28:I28"/>
    <mergeCell ref="L28:N28"/>
    <mergeCell ref="S28:U28"/>
    <mergeCell ref="X28:Z28"/>
    <mergeCell ref="AA28:AC28"/>
    <mergeCell ref="AA29:AC29"/>
    <mergeCell ref="A30:C30"/>
    <mergeCell ref="D30:F30"/>
    <mergeCell ref="G30:I30"/>
    <mergeCell ref="L30:N30"/>
    <mergeCell ref="S30:U30"/>
    <mergeCell ref="X30:Z30"/>
    <mergeCell ref="AA30:AC30"/>
    <mergeCell ref="A29:C29"/>
    <mergeCell ref="D29:F29"/>
    <mergeCell ref="A31:C31"/>
    <mergeCell ref="D31:F31"/>
    <mergeCell ref="G31:I31"/>
    <mergeCell ref="L31:N31"/>
    <mergeCell ref="S29:U29"/>
    <mergeCell ref="X29:Z29"/>
    <mergeCell ref="G29:I29"/>
    <mergeCell ref="L29:N29"/>
    <mergeCell ref="S31:U31"/>
    <mergeCell ref="X31:Z31"/>
    <mergeCell ref="AA31:AC31"/>
    <mergeCell ref="A32:C32"/>
    <mergeCell ref="D32:F32"/>
    <mergeCell ref="G32:I32"/>
    <mergeCell ref="L32:N32"/>
    <mergeCell ref="S32:U32"/>
    <mergeCell ref="X32:Z32"/>
    <mergeCell ref="AA32:AC32"/>
    <mergeCell ref="G34:I34"/>
    <mergeCell ref="L34:N34"/>
    <mergeCell ref="S34:U34"/>
    <mergeCell ref="X34:Z34"/>
    <mergeCell ref="AA34:AC34"/>
    <mergeCell ref="A33:C33"/>
    <mergeCell ref="D33:F33"/>
    <mergeCell ref="G33:I33"/>
    <mergeCell ref="L33:N33"/>
    <mergeCell ref="AA36:AC36"/>
    <mergeCell ref="A35:C35"/>
    <mergeCell ref="D35:F35"/>
    <mergeCell ref="G35:I35"/>
    <mergeCell ref="L35:N35"/>
    <mergeCell ref="S33:U33"/>
    <mergeCell ref="X33:Z33"/>
    <mergeCell ref="AA33:AC33"/>
    <mergeCell ref="A34:C34"/>
    <mergeCell ref="D34:F34"/>
    <mergeCell ref="D37:F37"/>
    <mergeCell ref="S35:U35"/>
    <mergeCell ref="X35:Z35"/>
    <mergeCell ref="AA35:AC35"/>
    <mergeCell ref="A36:C36"/>
    <mergeCell ref="D36:F36"/>
    <mergeCell ref="G36:I36"/>
    <mergeCell ref="L36:N36"/>
    <mergeCell ref="S36:U36"/>
    <mergeCell ref="X36:Z36"/>
    <mergeCell ref="L39:N39"/>
    <mergeCell ref="AA37:AC37"/>
    <mergeCell ref="A38:C38"/>
    <mergeCell ref="D38:F38"/>
    <mergeCell ref="G38:I38"/>
    <mergeCell ref="L38:N38"/>
    <mergeCell ref="S38:U38"/>
    <mergeCell ref="X38:Z38"/>
    <mergeCell ref="AA38:AC38"/>
    <mergeCell ref="A37:C37"/>
    <mergeCell ref="AA40:AC40"/>
    <mergeCell ref="A39:C39"/>
    <mergeCell ref="D39:F39"/>
    <mergeCell ref="S37:U37"/>
    <mergeCell ref="X37:Z37"/>
    <mergeCell ref="G37:I37"/>
    <mergeCell ref="L37:N37"/>
    <mergeCell ref="S39:U39"/>
    <mergeCell ref="X39:Z39"/>
    <mergeCell ref="G39:I39"/>
    <mergeCell ref="L41:N41"/>
    <mergeCell ref="S41:U41"/>
    <mergeCell ref="X41:Z41"/>
    <mergeCell ref="AA39:AC39"/>
    <mergeCell ref="A40:C40"/>
    <mergeCell ref="D40:F40"/>
    <mergeCell ref="G40:I40"/>
    <mergeCell ref="L40:N40"/>
    <mergeCell ref="S40:U40"/>
    <mergeCell ref="X40:Z40"/>
    <mergeCell ref="L43:N43"/>
    <mergeCell ref="AA41:AC41"/>
    <mergeCell ref="A42:C42"/>
    <mergeCell ref="D42:F42"/>
    <mergeCell ref="G42:I42"/>
    <mergeCell ref="L42:N42"/>
    <mergeCell ref="S42:U42"/>
    <mergeCell ref="X42:Z42"/>
    <mergeCell ref="AA42:AC42"/>
    <mergeCell ref="G41:I41"/>
    <mergeCell ref="X43:Z43"/>
    <mergeCell ref="AA43:AC43"/>
    <mergeCell ref="AA44:AC44"/>
    <mergeCell ref="S45:U45"/>
    <mergeCell ref="X45:Z45"/>
    <mergeCell ref="AA45:AC45"/>
    <mergeCell ref="S44:U44"/>
    <mergeCell ref="X44:Z44"/>
    <mergeCell ref="A46:C46"/>
    <mergeCell ref="D46:F46"/>
    <mergeCell ref="G46:I46"/>
    <mergeCell ref="L46:N46"/>
    <mergeCell ref="L45:N45"/>
    <mergeCell ref="S43:U43"/>
    <mergeCell ref="L44:N44"/>
    <mergeCell ref="A43:C43"/>
    <mergeCell ref="D43:F43"/>
    <mergeCell ref="G43:I43"/>
    <mergeCell ref="S46:U46"/>
    <mergeCell ref="X46:Z46"/>
    <mergeCell ref="AA46:AC46"/>
    <mergeCell ref="P11:R11"/>
    <mergeCell ref="P12:R12"/>
    <mergeCell ref="P13:R13"/>
    <mergeCell ref="P14:R14"/>
    <mergeCell ref="P15:R15"/>
    <mergeCell ref="P16:R16"/>
    <mergeCell ref="P24:R24"/>
    <mergeCell ref="P25:R25"/>
    <mergeCell ref="P32:R32"/>
    <mergeCell ref="P33:R33"/>
    <mergeCell ref="P26:R26"/>
    <mergeCell ref="P27:R27"/>
    <mergeCell ref="P28:R28"/>
    <mergeCell ref="P29:R29"/>
    <mergeCell ref="AE7:AH7"/>
    <mergeCell ref="AB6:AH6"/>
    <mergeCell ref="P42:R42"/>
    <mergeCell ref="P43:R43"/>
    <mergeCell ref="P38:R38"/>
    <mergeCell ref="P39:R39"/>
    <mergeCell ref="P40:R40"/>
    <mergeCell ref="P41:R41"/>
    <mergeCell ref="P34:R34"/>
    <mergeCell ref="P35:R35"/>
    <mergeCell ref="Q6:W6"/>
    <mergeCell ref="Q7:W7"/>
    <mergeCell ref="P46:R46"/>
    <mergeCell ref="AC7:AD7"/>
    <mergeCell ref="P44:R44"/>
    <mergeCell ref="P45:R45"/>
    <mergeCell ref="P36:R36"/>
    <mergeCell ref="P37:R37"/>
    <mergeCell ref="P30:R30"/>
    <mergeCell ref="P31:R31"/>
    <mergeCell ref="A1:AH1"/>
    <mergeCell ref="A2:AH2"/>
    <mergeCell ref="A3:AH3"/>
    <mergeCell ref="AB5:AC5"/>
    <mergeCell ref="Q5:W5"/>
    <mergeCell ref="D5:J5"/>
    <mergeCell ref="F6:J6"/>
    <mergeCell ref="C7:J7"/>
    <mergeCell ref="A45:C45"/>
    <mergeCell ref="D45:F45"/>
    <mergeCell ref="G45:I45"/>
    <mergeCell ref="A44:C44"/>
    <mergeCell ref="D44:F44"/>
    <mergeCell ref="G44:I44"/>
    <mergeCell ref="A41:C41"/>
    <mergeCell ref="D41:F41"/>
    <mergeCell ref="T51:AB51"/>
    <mergeCell ref="A51:H51"/>
    <mergeCell ref="J51:R51"/>
    <mergeCell ref="J64:O64"/>
    <mergeCell ref="A53:H53"/>
    <mergeCell ref="A54:H54"/>
    <mergeCell ref="A55:H55"/>
    <mergeCell ref="A56:H56"/>
    <mergeCell ref="A57:H57"/>
    <mergeCell ref="A58:H58"/>
  </mergeCells>
  <phoneticPr fontId="10" type="noConversion"/>
  <printOptions horizontalCentered="1"/>
  <pageMargins left="0.5" right="0.5" top="0.5" bottom="0.75" header="0.5" footer="0.5"/>
  <pageSetup scale="80" fitToHeight="0" orientation="landscape" horizontalDpi="300" verticalDpi="300" r:id="rId1"/>
  <headerFooter alignWithMargins="0">
    <oddFooter>&amp;R&amp;P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3" r:id="rId4" name="Drop Down 3">
              <controlPr defaultSize="0" print="0" autoFill="0" autoLine="0" autoPict="0">
                <anchor moveWithCells="1">
                  <from>
                    <xdr:col>3</xdr:col>
                    <xdr:colOff>0</xdr:colOff>
                    <xdr:row>7</xdr:row>
                    <xdr:rowOff>171450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5" name="Drop Down 4">
              <controlPr locked="0" defaultSize="0" print="0" autoFill="0" autoLine="0" autoPict="0">
                <anchor moveWithCells="1">
                  <from>
                    <xdr:col>10</xdr:col>
                    <xdr:colOff>9525</xdr:colOff>
                    <xdr:row>7</xdr:row>
                    <xdr:rowOff>171450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6" name="Drop Down 5">
              <controlPr defaultSize="0" print="0" autoFill="0" autoLine="0" autoPict="0">
                <anchor moveWithCells="1">
                  <from>
                    <xdr:col>17</xdr:col>
                    <xdr:colOff>0</xdr:colOff>
                    <xdr:row>7</xdr:row>
                    <xdr:rowOff>161925</xdr:rowOff>
                  </from>
                  <to>
                    <xdr:col>28</xdr:col>
                    <xdr:colOff>9525</xdr:colOff>
                    <xdr:row>7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BEB5F-D480-410D-BDFA-B8C223B6C3D3}">
  <sheetPr codeName="Sheet10">
    <pageSetUpPr fitToPage="1"/>
  </sheetPr>
  <dimension ref="A1:AH45"/>
  <sheetViews>
    <sheetView workbookViewId="0">
      <selection sqref="A1:AE1"/>
    </sheetView>
  </sheetViews>
  <sheetFormatPr defaultRowHeight="12.75"/>
  <cols>
    <col min="1" max="17" width="4" customWidth="1"/>
    <col min="18" max="18" width="5.42578125" customWidth="1"/>
    <col min="19" max="19" width="4" customWidth="1"/>
    <col min="20" max="20" width="5.5703125" customWidth="1"/>
    <col min="21" max="26" width="4" customWidth="1"/>
    <col min="27" max="27" width="4.42578125" customWidth="1"/>
    <col min="28" max="31" width="4" customWidth="1"/>
  </cols>
  <sheetData>
    <row r="1" spans="1:34" ht="15" customHeight="1" thickBot="1">
      <c r="A1" s="711" t="s">
        <v>350</v>
      </c>
      <c r="B1" s="711"/>
      <c r="C1" s="711"/>
      <c r="D1" s="711"/>
      <c r="E1" s="711"/>
      <c r="F1" s="711"/>
      <c r="G1" s="711"/>
      <c r="H1" s="711"/>
      <c r="I1" s="711"/>
      <c r="J1" s="711"/>
      <c r="K1" s="711"/>
      <c r="L1" s="711"/>
      <c r="M1" s="711"/>
      <c r="N1" s="711"/>
      <c r="O1" s="711"/>
      <c r="P1" s="711"/>
      <c r="Q1" s="711"/>
      <c r="R1" s="711"/>
      <c r="S1" s="711"/>
      <c r="T1" s="711"/>
      <c r="U1" s="711"/>
      <c r="V1" s="711"/>
      <c r="W1" s="711"/>
      <c r="X1" s="711"/>
      <c r="Y1" s="711"/>
      <c r="Z1" s="711"/>
      <c r="AA1" s="711"/>
      <c r="AB1" s="711"/>
      <c r="AC1" s="711"/>
      <c r="AD1" s="711"/>
      <c r="AE1" s="711"/>
    </row>
    <row r="2" spans="1:34">
      <c r="A2" s="714" t="s">
        <v>351</v>
      </c>
      <c r="B2" s="715"/>
      <c r="C2" s="715"/>
      <c r="D2" s="715"/>
      <c r="E2" s="715"/>
      <c r="F2" s="715"/>
      <c r="G2" s="715"/>
      <c r="H2" s="715"/>
      <c r="I2" s="715"/>
      <c r="J2" s="715"/>
      <c r="K2" s="715"/>
      <c r="L2" s="716"/>
      <c r="M2" s="727" t="s">
        <v>354</v>
      </c>
      <c r="N2" s="728"/>
      <c r="O2" s="728"/>
      <c r="P2" s="728"/>
      <c r="Q2" s="728"/>
      <c r="R2" s="728"/>
      <c r="S2" s="728"/>
      <c r="T2" s="728"/>
      <c r="U2" s="729"/>
      <c r="V2" s="727" t="s">
        <v>356</v>
      </c>
      <c r="W2" s="728"/>
      <c r="X2" s="728"/>
      <c r="Y2" s="728"/>
      <c r="Z2" s="729"/>
      <c r="AA2" s="727" t="s">
        <v>357</v>
      </c>
      <c r="AB2" s="728"/>
      <c r="AC2" s="728"/>
      <c r="AD2" s="728"/>
      <c r="AE2" s="729"/>
      <c r="AF2" s="314"/>
      <c r="AG2" s="314"/>
      <c r="AH2" s="314"/>
    </row>
    <row r="3" spans="1:34" ht="13.5" thickBot="1">
      <c r="A3" s="717"/>
      <c r="B3" s="718"/>
      <c r="C3" s="718"/>
      <c r="D3" s="718"/>
      <c r="E3" s="718"/>
      <c r="F3" s="718"/>
      <c r="G3" s="718"/>
      <c r="H3" s="718"/>
      <c r="I3" s="718"/>
      <c r="J3" s="718"/>
      <c r="K3" s="718"/>
      <c r="L3" s="719"/>
      <c r="M3" s="730"/>
      <c r="N3" s="731"/>
      <c r="O3" s="731"/>
      <c r="P3" s="731"/>
      <c r="Q3" s="731"/>
      <c r="R3" s="731"/>
      <c r="S3" s="731"/>
      <c r="T3" s="731"/>
      <c r="U3" s="732"/>
      <c r="V3" s="730"/>
      <c r="W3" s="731"/>
      <c r="X3" s="731"/>
      <c r="Y3" s="731"/>
      <c r="Z3" s="732"/>
      <c r="AA3" s="730"/>
      <c r="AB3" s="731"/>
      <c r="AC3" s="731"/>
      <c r="AD3" s="731"/>
      <c r="AE3" s="732"/>
      <c r="AF3" s="222"/>
      <c r="AG3" s="222"/>
      <c r="AH3" s="222"/>
    </row>
    <row r="4" spans="1:34">
      <c r="A4" s="720" t="s">
        <v>352</v>
      </c>
      <c r="B4" s="721"/>
      <c r="C4" s="721"/>
      <c r="D4" s="721"/>
      <c r="E4" s="721"/>
      <c r="F4" s="721"/>
      <c r="G4" s="721"/>
      <c r="H4" s="721"/>
      <c r="I4" s="721"/>
      <c r="J4" s="721"/>
      <c r="K4" s="721"/>
      <c r="L4" s="722"/>
      <c r="M4" s="727" t="s">
        <v>353</v>
      </c>
      <c r="N4" s="728"/>
      <c r="O4" s="728"/>
      <c r="P4" s="728"/>
      <c r="Q4" s="728"/>
      <c r="R4" s="728"/>
      <c r="S4" s="728"/>
      <c r="T4" s="728"/>
      <c r="U4" s="729"/>
      <c r="V4" s="727" t="s">
        <v>355</v>
      </c>
      <c r="W4" s="728"/>
      <c r="X4" s="728"/>
      <c r="Y4" s="728"/>
      <c r="Z4" s="728"/>
      <c r="AA4" s="728"/>
      <c r="AB4" s="728"/>
      <c r="AC4" s="728"/>
      <c r="AD4" s="728"/>
      <c r="AE4" s="729"/>
      <c r="AF4" s="222"/>
      <c r="AG4" s="222"/>
      <c r="AH4" s="222"/>
    </row>
    <row r="5" spans="1:34" ht="13.5" thickBot="1">
      <c r="A5" s="723"/>
      <c r="B5" s="724"/>
      <c r="C5" s="724"/>
      <c r="D5" s="724"/>
      <c r="E5" s="724"/>
      <c r="F5" s="724"/>
      <c r="G5" s="724"/>
      <c r="H5" s="724"/>
      <c r="I5" s="724"/>
      <c r="J5" s="724"/>
      <c r="K5" s="724"/>
      <c r="L5" s="725"/>
      <c r="M5" s="730"/>
      <c r="N5" s="731"/>
      <c r="O5" s="731"/>
      <c r="P5" s="731"/>
      <c r="Q5" s="731"/>
      <c r="R5" s="731"/>
      <c r="S5" s="731"/>
      <c r="T5" s="731"/>
      <c r="U5" s="732"/>
      <c r="V5" s="730"/>
      <c r="W5" s="731"/>
      <c r="X5" s="731"/>
      <c r="Y5" s="731"/>
      <c r="Z5" s="731"/>
      <c r="AA5" s="731"/>
      <c r="AB5" s="731"/>
      <c r="AC5" s="731"/>
      <c r="AD5" s="731"/>
      <c r="AE5" s="732"/>
      <c r="AF5" s="111"/>
      <c r="AG5" s="111"/>
      <c r="AH5" s="111"/>
    </row>
    <row r="6" spans="1:34" ht="15.75" customHeight="1">
      <c r="A6" s="743" t="s">
        <v>47</v>
      </c>
      <c r="B6" s="744"/>
      <c r="C6" s="744" t="s">
        <v>48</v>
      </c>
      <c r="D6" s="744"/>
      <c r="E6" s="744"/>
      <c r="F6" s="744"/>
      <c r="G6" s="744" t="s">
        <v>49</v>
      </c>
      <c r="H6" s="744"/>
      <c r="I6" s="744"/>
      <c r="J6" s="744" t="s">
        <v>50</v>
      </c>
      <c r="K6" s="744"/>
      <c r="L6" s="744"/>
      <c r="M6" s="744"/>
      <c r="N6" s="744"/>
      <c r="O6" s="733" t="s">
        <v>84</v>
      </c>
      <c r="P6" s="733"/>
      <c r="Q6" s="733" t="s">
        <v>57</v>
      </c>
      <c r="R6" s="733"/>
      <c r="S6" s="733"/>
      <c r="T6" s="733"/>
      <c r="U6" s="733"/>
      <c r="V6" s="733"/>
      <c r="W6" s="733"/>
      <c r="X6" s="733"/>
      <c r="Y6" s="733"/>
      <c r="Z6" s="733"/>
      <c r="AA6" s="733"/>
      <c r="AB6" s="733" t="s">
        <v>55</v>
      </c>
      <c r="AC6" s="733"/>
      <c r="AD6" s="733"/>
      <c r="AE6" s="740"/>
    </row>
    <row r="7" spans="1:34" ht="14.25" customHeight="1">
      <c r="A7" s="745"/>
      <c r="B7" s="746"/>
      <c r="C7" s="746"/>
      <c r="D7" s="746"/>
      <c r="E7" s="746"/>
      <c r="F7" s="746"/>
      <c r="G7" s="746"/>
      <c r="H7" s="746"/>
      <c r="I7" s="746"/>
      <c r="J7" s="746" t="s">
        <v>0</v>
      </c>
      <c r="K7" s="746" t="s">
        <v>15</v>
      </c>
      <c r="L7" s="746"/>
      <c r="M7" s="746" t="s">
        <v>5</v>
      </c>
      <c r="N7" s="746"/>
      <c r="O7" s="736"/>
      <c r="P7" s="736"/>
      <c r="Q7" s="734" t="s">
        <v>58</v>
      </c>
      <c r="R7" s="734"/>
      <c r="S7" s="734" t="s">
        <v>51</v>
      </c>
      <c r="T7" s="734"/>
      <c r="U7" s="739" t="s">
        <v>56</v>
      </c>
      <c r="V7" s="739"/>
      <c r="W7" s="739"/>
      <c r="X7" s="739"/>
      <c r="Y7" s="736" t="s">
        <v>54</v>
      </c>
      <c r="Z7" s="736"/>
      <c r="AA7" s="736"/>
      <c r="AB7" s="736"/>
      <c r="AC7" s="736"/>
      <c r="AD7" s="736"/>
      <c r="AE7" s="741"/>
    </row>
    <row r="8" spans="1:34" ht="17.25" customHeight="1">
      <c r="A8" s="745"/>
      <c r="B8" s="746"/>
      <c r="C8" s="746"/>
      <c r="D8" s="746"/>
      <c r="E8" s="746"/>
      <c r="F8" s="746"/>
      <c r="G8" s="746"/>
      <c r="H8" s="746"/>
      <c r="I8" s="746"/>
      <c r="J8" s="746"/>
      <c r="K8" s="746"/>
      <c r="L8" s="746"/>
      <c r="M8" s="746"/>
      <c r="N8" s="746"/>
      <c r="O8" s="736"/>
      <c r="P8" s="736"/>
      <c r="Q8" s="734"/>
      <c r="R8" s="734"/>
      <c r="S8" s="734"/>
      <c r="T8" s="734"/>
      <c r="U8" s="736" t="s">
        <v>52</v>
      </c>
      <c r="V8" s="736"/>
      <c r="W8" s="736" t="s">
        <v>53</v>
      </c>
      <c r="X8" s="736"/>
      <c r="Y8" s="736"/>
      <c r="Z8" s="736"/>
      <c r="AA8" s="736"/>
      <c r="AB8" s="736"/>
      <c r="AC8" s="736"/>
      <c r="AD8" s="736"/>
      <c r="AE8" s="741"/>
    </row>
    <row r="9" spans="1:34" ht="13.5" thickBot="1">
      <c r="A9" s="747"/>
      <c r="B9" s="748"/>
      <c r="C9" s="748"/>
      <c r="D9" s="748"/>
      <c r="E9" s="748"/>
      <c r="F9" s="748"/>
      <c r="G9" s="748"/>
      <c r="H9" s="748"/>
      <c r="I9" s="748"/>
      <c r="J9" s="748"/>
      <c r="K9" s="748"/>
      <c r="L9" s="748"/>
      <c r="M9" s="748"/>
      <c r="N9" s="748"/>
      <c r="O9" s="737"/>
      <c r="P9" s="737"/>
      <c r="Q9" s="735"/>
      <c r="R9" s="735"/>
      <c r="S9" s="735"/>
      <c r="T9" s="735"/>
      <c r="U9" s="737"/>
      <c r="V9" s="737"/>
      <c r="W9" s="737"/>
      <c r="X9" s="737"/>
      <c r="Y9" s="737"/>
      <c r="Z9" s="737"/>
      <c r="AA9" s="737"/>
      <c r="AB9" s="737"/>
      <c r="AC9" s="737"/>
      <c r="AD9" s="737"/>
      <c r="AE9" s="742"/>
    </row>
    <row r="10" spans="1:34">
      <c r="A10" s="726"/>
      <c r="B10" s="726"/>
      <c r="C10" s="726"/>
      <c r="D10" s="726"/>
      <c r="E10" s="726"/>
      <c r="F10" s="726"/>
      <c r="G10" s="726"/>
      <c r="H10" s="726"/>
      <c r="I10" s="726"/>
      <c r="J10" s="555"/>
      <c r="K10" s="726"/>
      <c r="L10" s="726"/>
      <c r="M10" s="726"/>
      <c r="N10" s="726"/>
      <c r="O10" s="738"/>
      <c r="P10" s="738"/>
      <c r="Q10" s="726"/>
      <c r="R10" s="726"/>
      <c r="S10" s="726"/>
      <c r="T10" s="726"/>
      <c r="U10" s="738"/>
      <c r="V10" s="738"/>
      <c r="W10" s="738"/>
      <c r="X10" s="738"/>
      <c r="Y10" s="726"/>
      <c r="Z10" s="726"/>
      <c r="AA10" s="726"/>
      <c r="AB10" s="726"/>
      <c r="AC10" s="726"/>
      <c r="AD10" s="726"/>
      <c r="AE10" s="726"/>
    </row>
    <row r="11" spans="1:34">
      <c r="A11" s="713"/>
      <c r="B11" s="713"/>
      <c r="C11" s="713"/>
      <c r="D11" s="713"/>
      <c r="E11" s="713"/>
      <c r="F11" s="713"/>
      <c r="G11" s="713"/>
      <c r="H11" s="713"/>
      <c r="I11" s="713"/>
      <c r="J11" s="556"/>
      <c r="K11" s="713"/>
      <c r="L11" s="713"/>
      <c r="M11" s="713"/>
      <c r="N11" s="713"/>
      <c r="O11" s="712"/>
      <c r="P11" s="712"/>
      <c r="Q11" s="713"/>
      <c r="R11" s="713"/>
      <c r="S11" s="713"/>
      <c r="T11" s="713"/>
      <c r="U11" s="712"/>
      <c r="V11" s="712"/>
      <c r="W11" s="712"/>
      <c r="X11" s="712"/>
      <c r="Y11" s="713"/>
      <c r="Z11" s="713"/>
      <c r="AA11" s="713"/>
      <c r="AB11" s="713"/>
      <c r="AC11" s="713"/>
      <c r="AD11" s="713"/>
      <c r="AE11" s="713"/>
    </row>
    <row r="12" spans="1:34">
      <c r="A12" s="713"/>
      <c r="B12" s="713"/>
      <c r="C12" s="713"/>
      <c r="D12" s="713"/>
      <c r="E12" s="713"/>
      <c r="F12" s="713"/>
      <c r="G12" s="713"/>
      <c r="H12" s="713"/>
      <c r="I12" s="713"/>
      <c r="J12" s="556"/>
      <c r="K12" s="713"/>
      <c r="L12" s="713"/>
      <c r="M12" s="713"/>
      <c r="N12" s="713"/>
      <c r="O12" s="712"/>
      <c r="P12" s="712"/>
      <c r="Q12" s="713"/>
      <c r="R12" s="713"/>
      <c r="S12" s="713"/>
      <c r="T12" s="713"/>
      <c r="U12" s="712"/>
      <c r="V12" s="712"/>
      <c r="W12" s="712"/>
      <c r="X12" s="712"/>
      <c r="Y12" s="713"/>
      <c r="Z12" s="713"/>
      <c r="AA12" s="713"/>
      <c r="AB12" s="713"/>
      <c r="AC12" s="713"/>
      <c r="AD12" s="713"/>
      <c r="AE12" s="713"/>
    </row>
    <row r="13" spans="1:34">
      <c r="A13" s="713"/>
      <c r="B13" s="713"/>
      <c r="C13" s="713"/>
      <c r="D13" s="713"/>
      <c r="E13" s="713"/>
      <c r="F13" s="713"/>
      <c r="G13" s="713"/>
      <c r="H13" s="713"/>
      <c r="I13" s="713"/>
      <c r="J13" s="556"/>
      <c r="K13" s="713"/>
      <c r="L13" s="713"/>
      <c r="M13" s="713"/>
      <c r="N13" s="713"/>
      <c r="O13" s="712"/>
      <c r="P13" s="712"/>
      <c r="Q13" s="713"/>
      <c r="R13" s="713"/>
      <c r="S13" s="713"/>
      <c r="T13" s="713"/>
      <c r="U13" s="712"/>
      <c r="V13" s="712"/>
      <c r="W13" s="712"/>
      <c r="X13" s="712"/>
      <c r="Y13" s="713"/>
      <c r="Z13" s="713"/>
      <c r="AA13" s="713"/>
      <c r="AB13" s="713"/>
      <c r="AC13" s="713"/>
      <c r="AD13" s="713"/>
      <c r="AE13" s="713"/>
    </row>
    <row r="14" spans="1:34">
      <c r="A14" s="713"/>
      <c r="B14" s="713"/>
      <c r="C14" s="713"/>
      <c r="D14" s="713"/>
      <c r="E14" s="713"/>
      <c r="F14" s="713"/>
      <c r="G14" s="713"/>
      <c r="H14" s="713"/>
      <c r="I14" s="713"/>
      <c r="J14" s="556"/>
      <c r="K14" s="713"/>
      <c r="L14" s="713"/>
      <c r="M14" s="713"/>
      <c r="N14" s="713"/>
      <c r="O14" s="712"/>
      <c r="P14" s="712"/>
      <c r="Q14" s="713"/>
      <c r="R14" s="713"/>
      <c r="S14" s="713"/>
      <c r="T14" s="713"/>
      <c r="U14" s="712"/>
      <c r="V14" s="712"/>
      <c r="W14" s="712"/>
      <c r="X14" s="712"/>
      <c r="Y14" s="713"/>
      <c r="Z14" s="713"/>
      <c r="AA14" s="713"/>
      <c r="AB14" s="713"/>
      <c r="AC14" s="713"/>
      <c r="AD14" s="713"/>
      <c r="AE14" s="713"/>
    </row>
    <row r="15" spans="1:34">
      <c r="A15" s="713"/>
      <c r="B15" s="713"/>
      <c r="C15" s="713"/>
      <c r="D15" s="713"/>
      <c r="E15" s="713"/>
      <c r="F15" s="713"/>
      <c r="G15" s="713"/>
      <c r="H15" s="713"/>
      <c r="I15" s="713"/>
      <c r="J15" s="556"/>
      <c r="K15" s="713"/>
      <c r="L15" s="713"/>
      <c r="M15" s="713"/>
      <c r="N15" s="713"/>
      <c r="O15" s="712"/>
      <c r="P15" s="712"/>
      <c r="Q15" s="713"/>
      <c r="R15" s="713"/>
      <c r="S15" s="713"/>
      <c r="T15" s="713"/>
      <c r="U15" s="712"/>
      <c r="V15" s="712"/>
      <c r="W15" s="712"/>
      <c r="X15" s="712"/>
      <c r="Y15" s="713"/>
      <c r="Z15" s="713"/>
      <c r="AA15" s="713"/>
      <c r="AB15" s="713"/>
      <c r="AC15" s="713"/>
      <c r="AD15" s="713"/>
      <c r="AE15" s="713"/>
    </row>
    <row r="16" spans="1:34">
      <c r="A16" s="713"/>
      <c r="B16" s="713"/>
      <c r="C16" s="713"/>
      <c r="D16" s="713"/>
      <c r="E16" s="713"/>
      <c r="F16" s="713"/>
      <c r="G16" s="713"/>
      <c r="H16" s="713"/>
      <c r="I16" s="713"/>
      <c r="J16" s="556"/>
      <c r="K16" s="713"/>
      <c r="L16" s="713"/>
      <c r="M16" s="713"/>
      <c r="N16" s="713"/>
      <c r="O16" s="712"/>
      <c r="P16" s="712"/>
      <c r="Q16" s="713"/>
      <c r="R16" s="713"/>
      <c r="S16" s="713"/>
      <c r="T16" s="713"/>
      <c r="U16" s="712"/>
      <c r="V16" s="712"/>
      <c r="W16" s="712"/>
      <c r="X16" s="712"/>
      <c r="Y16" s="713"/>
      <c r="Z16" s="713"/>
      <c r="AA16" s="713"/>
      <c r="AB16" s="713"/>
      <c r="AC16" s="713"/>
      <c r="AD16" s="713"/>
      <c r="AE16" s="713"/>
    </row>
    <row r="17" spans="1:31">
      <c r="A17" s="713"/>
      <c r="B17" s="713"/>
      <c r="C17" s="713"/>
      <c r="D17" s="713"/>
      <c r="E17" s="713"/>
      <c r="F17" s="713"/>
      <c r="G17" s="713"/>
      <c r="H17" s="713"/>
      <c r="I17" s="713"/>
      <c r="J17" s="556"/>
      <c r="K17" s="713"/>
      <c r="L17" s="713"/>
      <c r="M17" s="713"/>
      <c r="N17" s="713"/>
      <c r="O17" s="712"/>
      <c r="P17" s="712"/>
      <c r="Q17" s="713"/>
      <c r="R17" s="713"/>
      <c r="S17" s="713"/>
      <c r="T17" s="713"/>
      <c r="U17" s="712"/>
      <c r="V17" s="712"/>
      <c r="W17" s="712"/>
      <c r="X17" s="712"/>
      <c r="Y17" s="713"/>
      <c r="Z17" s="713"/>
      <c r="AA17" s="713"/>
      <c r="AB17" s="713"/>
      <c r="AC17" s="713"/>
      <c r="AD17" s="713"/>
      <c r="AE17" s="713"/>
    </row>
    <row r="18" spans="1:31">
      <c r="A18" s="713"/>
      <c r="B18" s="713"/>
      <c r="C18" s="713"/>
      <c r="D18" s="713"/>
      <c r="E18" s="713"/>
      <c r="F18" s="713"/>
      <c r="G18" s="713"/>
      <c r="H18" s="713"/>
      <c r="I18" s="713"/>
      <c r="J18" s="556"/>
      <c r="K18" s="713"/>
      <c r="L18" s="713"/>
      <c r="M18" s="713"/>
      <c r="N18" s="713"/>
      <c r="O18" s="712"/>
      <c r="P18" s="712"/>
      <c r="Q18" s="713"/>
      <c r="R18" s="713"/>
      <c r="S18" s="713"/>
      <c r="T18" s="713"/>
      <c r="U18" s="712"/>
      <c r="V18" s="712"/>
      <c r="W18" s="712"/>
      <c r="X18" s="712"/>
      <c r="Y18" s="713"/>
      <c r="Z18" s="713"/>
      <c r="AA18" s="713"/>
      <c r="AB18" s="713"/>
      <c r="AC18" s="713"/>
      <c r="AD18" s="713"/>
      <c r="AE18" s="713"/>
    </row>
    <row r="19" spans="1:31">
      <c r="A19" s="713"/>
      <c r="B19" s="713"/>
      <c r="C19" s="713"/>
      <c r="D19" s="713"/>
      <c r="E19" s="713"/>
      <c r="F19" s="713"/>
      <c r="G19" s="713"/>
      <c r="H19" s="713"/>
      <c r="I19" s="713"/>
      <c r="J19" s="556"/>
      <c r="K19" s="713"/>
      <c r="L19" s="713"/>
      <c r="M19" s="713"/>
      <c r="N19" s="713"/>
      <c r="O19" s="712"/>
      <c r="P19" s="712"/>
      <c r="Q19" s="713"/>
      <c r="R19" s="713"/>
      <c r="S19" s="713"/>
      <c r="T19" s="713"/>
      <c r="U19" s="712"/>
      <c r="V19" s="712"/>
      <c r="W19" s="712"/>
      <c r="X19" s="712"/>
      <c r="Y19" s="713"/>
      <c r="Z19" s="713"/>
      <c r="AA19" s="713"/>
      <c r="AB19" s="713"/>
      <c r="AC19" s="713"/>
      <c r="AD19" s="713"/>
      <c r="AE19" s="713"/>
    </row>
    <row r="20" spans="1:31">
      <c r="A20" s="713"/>
      <c r="B20" s="713"/>
      <c r="C20" s="713"/>
      <c r="D20" s="713"/>
      <c r="E20" s="713"/>
      <c r="F20" s="713"/>
      <c r="G20" s="713"/>
      <c r="H20" s="713"/>
      <c r="I20" s="713"/>
      <c r="J20" s="556"/>
      <c r="K20" s="713"/>
      <c r="L20" s="713"/>
      <c r="M20" s="713"/>
      <c r="N20" s="713"/>
      <c r="O20" s="712"/>
      <c r="P20" s="712"/>
      <c r="Q20" s="713"/>
      <c r="R20" s="713"/>
      <c r="S20" s="713"/>
      <c r="T20" s="713"/>
      <c r="U20" s="712"/>
      <c r="V20" s="712"/>
      <c r="W20" s="712"/>
      <c r="X20" s="712"/>
      <c r="Y20" s="713"/>
      <c r="Z20" s="713"/>
      <c r="AA20" s="713"/>
      <c r="AB20" s="713"/>
      <c r="AC20" s="713"/>
      <c r="AD20" s="713"/>
      <c r="AE20" s="713"/>
    </row>
    <row r="21" spans="1:31">
      <c r="A21" s="713"/>
      <c r="B21" s="713"/>
      <c r="C21" s="713"/>
      <c r="D21" s="713"/>
      <c r="E21" s="713"/>
      <c r="F21" s="713"/>
      <c r="G21" s="713"/>
      <c r="H21" s="713"/>
      <c r="I21" s="713"/>
      <c r="J21" s="556"/>
      <c r="K21" s="713"/>
      <c r="L21" s="713"/>
      <c r="M21" s="713"/>
      <c r="N21" s="713"/>
      <c r="O21" s="712"/>
      <c r="P21" s="712"/>
      <c r="Q21" s="713"/>
      <c r="R21" s="713"/>
      <c r="S21" s="713"/>
      <c r="T21" s="713"/>
      <c r="U21" s="712"/>
      <c r="V21" s="712"/>
      <c r="W21" s="712"/>
      <c r="X21" s="712"/>
      <c r="Y21" s="713"/>
      <c r="Z21" s="713"/>
      <c r="AA21" s="713"/>
      <c r="AB21" s="713"/>
      <c r="AC21" s="713"/>
      <c r="AD21" s="713"/>
      <c r="AE21" s="713"/>
    </row>
    <row r="22" spans="1:31">
      <c r="A22" s="713"/>
      <c r="B22" s="713"/>
      <c r="C22" s="713"/>
      <c r="D22" s="713"/>
      <c r="E22" s="713"/>
      <c r="F22" s="713"/>
      <c r="G22" s="713"/>
      <c r="H22" s="713"/>
      <c r="I22" s="713"/>
      <c r="J22" s="556"/>
      <c r="K22" s="713"/>
      <c r="L22" s="713"/>
      <c r="M22" s="713"/>
      <c r="N22" s="713"/>
      <c r="O22" s="712"/>
      <c r="P22" s="712"/>
      <c r="Q22" s="713"/>
      <c r="R22" s="713"/>
      <c r="S22" s="713"/>
      <c r="T22" s="713"/>
      <c r="U22" s="712"/>
      <c r="V22" s="712"/>
      <c r="W22" s="712"/>
      <c r="X22" s="712"/>
      <c r="Y22" s="713"/>
      <c r="Z22" s="713"/>
      <c r="AA22" s="713"/>
      <c r="AB22" s="713"/>
      <c r="AC22" s="713"/>
      <c r="AD22" s="713"/>
      <c r="AE22" s="713"/>
    </row>
    <row r="23" spans="1:31">
      <c r="A23" s="713"/>
      <c r="B23" s="713"/>
      <c r="C23" s="713"/>
      <c r="D23" s="713"/>
      <c r="E23" s="713"/>
      <c r="F23" s="713"/>
      <c r="G23" s="713"/>
      <c r="H23" s="713"/>
      <c r="I23" s="713"/>
      <c r="J23" s="556"/>
      <c r="K23" s="713"/>
      <c r="L23" s="713"/>
      <c r="M23" s="713"/>
      <c r="N23" s="713"/>
      <c r="O23" s="712"/>
      <c r="P23" s="712"/>
      <c r="Q23" s="713"/>
      <c r="R23" s="713"/>
      <c r="S23" s="713"/>
      <c r="T23" s="713"/>
      <c r="U23" s="712"/>
      <c r="V23" s="712"/>
      <c r="W23" s="712"/>
      <c r="X23" s="712"/>
      <c r="Y23" s="713"/>
      <c r="Z23" s="713"/>
      <c r="AA23" s="713"/>
      <c r="AB23" s="713"/>
      <c r="AC23" s="713"/>
      <c r="AD23" s="713"/>
      <c r="AE23" s="713"/>
    </row>
    <row r="24" spans="1:31">
      <c r="A24" s="713"/>
      <c r="B24" s="713"/>
      <c r="C24" s="713"/>
      <c r="D24" s="713"/>
      <c r="E24" s="713"/>
      <c r="F24" s="713"/>
      <c r="G24" s="713"/>
      <c r="H24" s="713"/>
      <c r="I24" s="713"/>
      <c r="J24" s="556"/>
      <c r="K24" s="713"/>
      <c r="L24" s="713"/>
      <c r="M24" s="713"/>
      <c r="N24" s="713"/>
      <c r="O24" s="712"/>
      <c r="P24" s="712"/>
      <c r="Q24" s="713"/>
      <c r="R24" s="713"/>
      <c r="S24" s="713"/>
      <c r="T24" s="713"/>
      <c r="U24" s="712"/>
      <c r="V24" s="712"/>
      <c r="W24" s="712"/>
      <c r="X24" s="712"/>
      <c r="Y24" s="713"/>
      <c r="Z24" s="713"/>
      <c r="AA24" s="713"/>
      <c r="AB24" s="713"/>
      <c r="AC24" s="713"/>
      <c r="AD24" s="713"/>
      <c r="AE24" s="713"/>
    </row>
    <row r="25" spans="1:31">
      <c r="A25" s="713"/>
      <c r="B25" s="713"/>
      <c r="C25" s="713"/>
      <c r="D25" s="713"/>
      <c r="E25" s="713"/>
      <c r="F25" s="713"/>
      <c r="G25" s="713"/>
      <c r="H25" s="713"/>
      <c r="I25" s="713"/>
      <c r="J25" s="556"/>
      <c r="K25" s="713"/>
      <c r="L25" s="713"/>
      <c r="M25" s="713"/>
      <c r="N25" s="713"/>
      <c r="O25" s="712"/>
      <c r="P25" s="712"/>
      <c r="Q25" s="713"/>
      <c r="R25" s="713"/>
      <c r="S25" s="713"/>
      <c r="T25" s="713"/>
      <c r="U25" s="712"/>
      <c r="V25" s="712"/>
      <c r="W25" s="712"/>
      <c r="X25" s="712"/>
      <c r="Y25" s="713"/>
      <c r="Z25" s="713"/>
      <c r="AA25" s="713"/>
      <c r="AB25" s="713"/>
      <c r="AC25" s="713"/>
      <c r="AD25" s="713"/>
      <c r="AE25" s="713"/>
    </row>
    <row r="26" spans="1:31">
      <c r="A26" s="713"/>
      <c r="B26" s="713"/>
      <c r="C26" s="713"/>
      <c r="D26" s="713"/>
      <c r="E26" s="713"/>
      <c r="F26" s="713"/>
      <c r="G26" s="713"/>
      <c r="H26" s="713"/>
      <c r="I26" s="713"/>
      <c r="J26" s="556"/>
      <c r="K26" s="713"/>
      <c r="L26" s="713"/>
      <c r="M26" s="713"/>
      <c r="N26" s="713"/>
      <c r="O26" s="712"/>
      <c r="P26" s="712"/>
      <c r="Q26" s="713"/>
      <c r="R26" s="713"/>
      <c r="S26" s="713"/>
      <c r="T26" s="713"/>
      <c r="U26" s="712"/>
      <c r="V26" s="712"/>
      <c r="W26" s="712"/>
      <c r="X26" s="712"/>
      <c r="Y26" s="713"/>
      <c r="Z26" s="713"/>
      <c r="AA26" s="713"/>
      <c r="AB26" s="713"/>
      <c r="AC26" s="713"/>
      <c r="AD26" s="713"/>
      <c r="AE26" s="713"/>
    </row>
    <row r="27" spans="1:31">
      <c r="A27" s="713"/>
      <c r="B27" s="713"/>
      <c r="C27" s="713"/>
      <c r="D27" s="713"/>
      <c r="E27" s="713"/>
      <c r="F27" s="713"/>
      <c r="G27" s="713"/>
      <c r="H27" s="713"/>
      <c r="I27" s="713"/>
      <c r="J27" s="556"/>
      <c r="K27" s="713"/>
      <c r="L27" s="713"/>
      <c r="M27" s="713"/>
      <c r="N27" s="713"/>
      <c r="O27" s="712"/>
      <c r="P27" s="712"/>
      <c r="Q27" s="713"/>
      <c r="R27" s="713"/>
      <c r="S27" s="713"/>
      <c r="T27" s="713"/>
      <c r="U27" s="712"/>
      <c r="V27" s="712"/>
      <c r="W27" s="712"/>
      <c r="X27" s="712"/>
      <c r="Y27" s="713"/>
      <c r="Z27" s="713"/>
      <c r="AA27" s="713"/>
      <c r="AB27" s="713"/>
      <c r="AC27" s="713"/>
      <c r="AD27" s="713"/>
      <c r="AE27" s="713"/>
    </row>
    <row r="28" spans="1:31">
      <c r="A28" s="713"/>
      <c r="B28" s="713"/>
      <c r="C28" s="713"/>
      <c r="D28" s="713"/>
      <c r="E28" s="713"/>
      <c r="F28" s="713"/>
      <c r="G28" s="713"/>
      <c r="H28" s="713"/>
      <c r="I28" s="713"/>
      <c r="J28" s="556"/>
      <c r="K28" s="713"/>
      <c r="L28" s="713"/>
      <c r="M28" s="713"/>
      <c r="N28" s="713"/>
      <c r="O28" s="712"/>
      <c r="P28" s="712"/>
      <c r="Q28" s="713"/>
      <c r="R28" s="713"/>
      <c r="S28" s="713"/>
      <c r="T28" s="713"/>
      <c r="U28" s="712"/>
      <c r="V28" s="712"/>
      <c r="W28" s="712"/>
      <c r="X28" s="712"/>
      <c r="Y28" s="713"/>
      <c r="Z28" s="713"/>
      <c r="AA28" s="713"/>
      <c r="AB28" s="713"/>
      <c r="AC28" s="713"/>
      <c r="AD28" s="713"/>
      <c r="AE28" s="713"/>
    </row>
    <row r="29" spans="1:31">
      <c r="A29" s="713"/>
      <c r="B29" s="713"/>
      <c r="C29" s="713"/>
      <c r="D29" s="713"/>
      <c r="E29" s="713"/>
      <c r="F29" s="713"/>
      <c r="G29" s="713"/>
      <c r="H29" s="713"/>
      <c r="I29" s="713"/>
      <c r="J29" s="556"/>
      <c r="K29" s="713"/>
      <c r="L29" s="713"/>
      <c r="M29" s="713"/>
      <c r="N29" s="713"/>
      <c r="O29" s="712"/>
      <c r="P29" s="712"/>
      <c r="Q29" s="713"/>
      <c r="R29" s="713"/>
      <c r="S29" s="713"/>
      <c r="T29" s="713"/>
      <c r="U29" s="712"/>
      <c r="V29" s="712"/>
      <c r="W29" s="712"/>
      <c r="X29" s="712"/>
      <c r="Y29" s="713"/>
      <c r="Z29" s="713"/>
      <c r="AA29" s="713"/>
      <c r="AB29" s="713"/>
      <c r="AC29" s="713"/>
      <c r="AD29" s="713"/>
      <c r="AE29" s="713"/>
    </row>
    <row r="30" spans="1:31">
      <c r="A30" s="713"/>
      <c r="B30" s="713"/>
      <c r="C30" s="713"/>
      <c r="D30" s="713"/>
      <c r="E30" s="713"/>
      <c r="F30" s="713"/>
      <c r="G30" s="713"/>
      <c r="H30" s="713"/>
      <c r="I30" s="713"/>
      <c r="J30" s="556"/>
      <c r="K30" s="713"/>
      <c r="L30" s="713"/>
      <c r="M30" s="713"/>
      <c r="N30" s="713"/>
      <c r="O30" s="712"/>
      <c r="P30" s="712"/>
      <c r="Q30" s="713"/>
      <c r="R30" s="713"/>
      <c r="S30" s="713"/>
      <c r="T30" s="713"/>
      <c r="U30" s="712"/>
      <c r="V30" s="712"/>
      <c r="W30" s="712"/>
      <c r="X30" s="712"/>
      <c r="Y30" s="713"/>
      <c r="Z30" s="713"/>
      <c r="AA30" s="713"/>
      <c r="AB30" s="713"/>
      <c r="AC30" s="713"/>
      <c r="AD30" s="713"/>
      <c r="AE30" s="713"/>
    </row>
    <row r="31" spans="1:31">
      <c r="A31" s="713"/>
      <c r="B31" s="713"/>
      <c r="C31" s="713"/>
      <c r="D31" s="713"/>
      <c r="E31" s="713"/>
      <c r="F31" s="713"/>
      <c r="G31" s="713"/>
      <c r="H31" s="713"/>
      <c r="I31" s="713"/>
      <c r="J31" s="556"/>
      <c r="K31" s="713"/>
      <c r="L31" s="713"/>
      <c r="M31" s="713"/>
      <c r="N31" s="713"/>
      <c r="O31" s="712"/>
      <c r="P31" s="712"/>
      <c r="Q31" s="713"/>
      <c r="R31" s="713"/>
      <c r="S31" s="713"/>
      <c r="T31" s="713"/>
      <c r="U31" s="712"/>
      <c r="V31" s="712"/>
      <c r="W31" s="712"/>
      <c r="X31" s="712"/>
      <c r="Y31" s="713"/>
      <c r="Z31" s="713"/>
      <c r="AA31" s="713"/>
      <c r="AB31" s="713"/>
      <c r="AC31" s="713"/>
      <c r="AD31" s="713"/>
      <c r="AE31" s="713"/>
    </row>
    <row r="32" spans="1:31">
      <c r="A32" s="713"/>
      <c r="B32" s="713"/>
      <c r="C32" s="713"/>
      <c r="D32" s="713"/>
      <c r="E32" s="713"/>
      <c r="F32" s="713"/>
      <c r="G32" s="713"/>
      <c r="H32" s="713"/>
      <c r="I32" s="713"/>
      <c r="J32" s="556"/>
      <c r="K32" s="713"/>
      <c r="L32" s="713"/>
      <c r="M32" s="713"/>
      <c r="N32" s="713"/>
      <c r="O32" s="712"/>
      <c r="P32" s="712"/>
      <c r="Q32" s="713"/>
      <c r="R32" s="713"/>
      <c r="S32" s="713"/>
      <c r="T32" s="713"/>
      <c r="U32" s="712"/>
      <c r="V32" s="712"/>
      <c r="W32" s="712"/>
      <c r="X32" s="712"/>
      <c r="Y32" s="713"/>
      <c r="Z32" s="713"/>
      <c r="AA32" s="713"/>
      <c r="AB32" s="713"/>
      <c r="AC32" s="713"/>
      <c r="AD32" s="713"/>
      <c r="AE32" s="713"/>
    </row>
    <row r="33" spans="1:31">
      <c r="A33" s="713"/>
      <c r="B33" s="713"/>
      <c r="C33" s="713"/>
      <c r="D33" s="713"/>
      <c r="E33" s="713"/>
      <c r="F33" s="713"/>
      <c r="G33" s="713"/>
      <c r="H33" s="713"/>
      <c r="I33" s="713"/>
      <c r="J33" s="556"/>
      <c r="K33" s="713"/>
      <c r="L33" s="713"/>
      <c r="M33" s="713"/>
      <c r="N33" s="713"/>
      <c r="O33" s="712"/>
      <c r="P33" s="712"/>
      <c r="Q33" s="713"/>
      <c r="R33" s="713"/>
      <c r="S33" s="713"/>
      <c r="T33" s="713"/>
      <c r="U33" s="712"/>
      <c r="V33" s="712"/>
      <c r="W33" s="712"/>
      <c r="X33" s="712"/>
      <c r="Y33" s="713"/>
      <c r="Z33" s="713"/>
      <c r="AA33" s="713"/>
      <c r="AB33" s="713"/>
      <c r="AC33" s="713"/>
      <c r="AD33" s="713"/>
      <c r="AE33" s="713"/>
    </row>
    <row r="34" spans="1:31">
      <c r="A34" s="713"/>
      <c r="B34" s="713"/>
      <c r="C34" s="713"/>
      <c r="D34" s="713"/>
      <c r="E34" s="713"/>
      <c r="F34" s="713"/>
      <c r="G34" s="713"/>
      <c r="H34" s="713"/>
      <c r="I34" s="713"/>
      <c r="J34" s="556"/>
      <c r="K34" s="713"/>
      <c r="L34" s="713"/>
      <c r="M34" s="713"/>
      <c r="N34" s="713"/>
      <c r="O34" s="712"/>
      <c r="P34" s="712"/>
      <c r="Q34" s="713"/>
      <c r="R34" s="713"/>
      <c r="S34" s="713"/>
      <c r="T34" s="713"/>
      <c r="U34" s="712"/>
      <c r="V34" s="712"/>
      <c r="W34" s="712"/>
      <c r="X34" s="712"/>
      <c r="Y34" s="713"/>
      <c r="Z34" s="713"/>
      <c r="AA34" s="713"/>
      <c r="AB34" s="713"/>
      <c r="AC34" s="713"/>
      <c r="AD34" s="713"/>
      <c r="AE34" s="713"/>
    </row>
    <row r="35" spans="1:31">
      <c r="A35" s="713"/>
      <c r="B35" s="713"/>
      <c r="C35" s="713"/>
      <c r="D35" s="713"/>
      <c r="E35" s="713"/>
      <c r="F35" s="713"/>
      <c r="G35" s="713"/>
      <c r="H35" s="713"/>
      <c r="I35" s="713"/>
      <c r="J35" s="556"/>
      <c r="K35" s="713"/>
      <c r="L35" s="713"/>
      <c r="M35" s="713"/>
      <c r="N35" s="713"/>
      <c r="O35" s="712"/>
      <c r="P35" s="712"/>
      <c r="Q35" s="713"/>
      <c r="R35" s="713"/>
      <c r="S35" s="713"/>
      <c r="T35" s="713"/>
      <c r="U35" s="712"/>
      <c r="V35" s="712"/>
      <c r="W35" s="712"/>
      <c r="X35" s="712"/>
      <c r="Y35" s="713"/>
      <c r="Z35" s="713"/>
      <c r="AA35" s="713"/>
      <c r="AB35" s="713"/>
      <c r="AC35" s="713"/>
      <c r="AD35" s="713"/>
      <c r="AE35" s="713"/>
    </row>
    <row r="36" spans="1:31">
      <c r="A36" s="713"/>
      <c r="B36" s="713"/>
      <c r="C36" s="713"/>
      <c r="D36" s="713"/>
      <c r="E36" s="713"/>
      <c r="F36" s="713"/>
      <c r="G36" s="713"/>
      <c r="H36" s="713"/>
      <c r="I36" s="713"/>
      <c r="J36" s="556"/>
      <c r="K36" s="713"/>
      <c r="L36" s="713"/>
      <c r="M36" s="713"/>
      <c r="N36" s="713"/>
      <c r="O36" s="712"/>
      <c r="P36" s="712"/>
      <c r="Q36" s="713"/>
      <c r="R36" s="713"/>
      <c r="S36" s="713"/>
      <c r="T36" s="713"/>
      <c r="U36" s="712"/>
      <c r="V36" s="712"/>
      <c r="W36" s="712"/>
      <c r="X36" s="712"/>
      <c r="Y36" s="713"/>
      <c r="Z36" s="713"/>
      <c r="AA36" s="713"/>
      <c r="AB36" s="713"/>
      <c r="AC36" s="713"/>
      <c r="AD36" s="713"/>
      <c r="AE36" s="713"/>
    </row>
    <row r="37" spans="1:31">
      <c r="A37" s="713"/>
      <c r="B37" s="713"/>
      <c r="C37" s="713"/>
      <c r="D37" s="713"/>
      <c r="E37" s="713"/>
      <c r="F37" s="713"/>
      <c r="G37" s="713"/>
      <c r="H37" s="713"/>
      <c r="I37" s="713"/>
      <c r="J37" s="556"/>
      <c r="K37" s="713"/>
      <c r="L37" s="713"/>
      <c r="M37" s="713"/>
      <c r="N37" s="713"/>
      <c r="O37" s="712"/>
      <c r="P37" s="712"/>
      <c r="Q37" s="713"/>
      <c r="R37" s="713"/>
      <c r="S37" s="713"/>
      <c r="T37" s="713"/>
      <c r="U37" s="712"/>
      <c r="V37" s="712"/>
      <c r="W37" s="712"/>
      <c r="X37" s="712"/>
      <c r="Y37" s="713"/>
      <c r="Z37" s="713"/>
      <c r="AA37" s="713"/>
      <c r="AB37" s="713"/>
      <c r="AC37" s="713"/>
      <c r="AD37" s="713"/>
      <c r="AE37" s="713"/>
    </row>
    <row r="38" spans="1:31">
      <c r="A38" s="713"/>
      <c r="B38" s="713"/>
      <c r="C38" s="713"/>
      <c r="D38" s="713"/>
      <c r="E38" s="713"/>
      <c r="F38" s="713"/>
      <c r="G38" s="713"/>
      <c r="H38" s="713"/>
      <c r="I38" s="713"/>
      <c r="J38" s="556"/>
      <c r="K38" s="713"/>
      <c r="L38" s="713"/>
      <c r="M38" s="713"/>
      <c r="N38" s="713"/>
      <c r="O38" s="712"/>
      <c r="P38" s="712"/>
      <c r="Q38" s="713"/>
      <c r="R38" s="713"/>
      <c r="S38" s="713"/>
      <c r="T38" s="713"/>
      <c r="U38" s="712"/>
      <c r="V38" s="712"/>
      <c r="W38" s="712"/>
      <c r="X38" s="712"/>
      <c r="Y38" s="713"/>
      <c r="Z38" s="713"/>
      <c r="AA38" s="713"/>
      <c r="AB38" s="713"/>
      <c r="AC38" s="713"/>
      <c r="AD38" s="713"/>
      <c r="AE38" s="713"/>
    </row>
    <row r="39" spans="1:31">
      <c r="A39" s="713"/>
      <c r="B39" s="713"/>
      <c r="C39" s="713"/>
      <c r="D39" s="713"/>
      <c r="E39" s="713"/>
      <c r="F39" s="713"/>
      <c r="G39" s="713"/>
      <c r="H39" s="713"/>
      <c r="I39" s="713"/>
      <c r="J39" s="556"/>
      <c r="K39" s="713"/>
      <c r="L39" s="713"/>
      <c r="M39" s="713"/>
      <c r="N39" s="713"/>
      <c r="O39" s="712"/>
      <c r="P39" s="712"/>
      <c r="Q39" s="713"/>
      <c r="R39" s="713"/>
      <c r="S39" s="713"/>
      <c r="T39" s="713"/>
      <c r="U39" s="712"/>
      <c r="V39" s="712"/>
      <c r="W39" s="712"/>
      <c r="X39" s="712"/>
      <c r="Y39" s="713"/>
      <c r="Z39" s="713"/>
      <c r="AA39" s="713"/>
      <c r="AB39" s="713"/>
      <c r="AC39" s="713"/>
      <c r="AD39" s="713"/>
      <c r="AE39" s="713"/>
    </row>
    <row r="40" spans="1:31">
      <c r="A40" s="713"/>
      <c r="B40" s="713"/>
      <c r="C40" s="713"/>
      <c r="D40" s="713"/>
      <c r="E40" s="713"/>
      <c r="F40" s="713"/>
      <c r="G40" s="713"/>
      <c r="H40" s="713"/>
      <c r="I40" s="713"/>
      <c r="J40" s="556"/>
      <c r="K40" s="713"/>
      <c r="L40" s="713"/>
      <c r="M40" s="713"/>
      <c r="N40" s="713"/>
      <c r="O40" s="712"/>
      <c r="P40" s="712"/>
      <c r="Q40" s="713"/>
      <c r="R40" s="713"/>
      <c r="S40" s="713"/>
      <c r="T40" s="713"/>
      <c r="U40" s="712"/>
      <c r="V40" s="712"/>
      <c r="W40" s="712"/>
      <c r="X40" s="712"/>
      <c r="Y40" s="713"/>
      <c r="Z40" s="713"/>
      <c r="AA40" s="713"/>
      <c r="AB40" s="713"/>
      <c r="AC40" s="713"/>
      <c r="AD40" s="713"/>
      <c r="AE40" s="713"/>
    </row>
    <row r="41" spans="1:31">
      <c r="A41" s="713"/>
      <c r="B41" s="713"/>
      <c r="C41" s="713"/>
      <c r="D41" s="713"/>
      <c r="E41" s="713"/>
      <c r="F41" s="713"/>
      <c r="G41" s="713"/>
      <c r="H41" s="713"/>
      <c r="I41" s="713"/>
      <c r="J41" s="556"/>
      <c r="K41" s="713"/>
      <c r="L41" s="713"/>
      <c r="M41" s="713"/>
      <c r="N41" s="713"/>
      <c r="O41" s="712"/>
      <c r="P41" s="712"/>
      <c r="Q41" s="713"/>
      <c r="R41" s="713"/>
      <c r="S41" s="713"/>
      <c r="T41" s="713"/>
      <c r="U41" s="712"/>
      <c r="V41" s="712"/>
      <c r="W41" s="712"/>
      <c r="X41" s="712"/>
      <c r="Y41" s="713"/>
      <c r="Z41" s="713"/>
      <c r="AA41" s="713"/>
      <c r="AB41" s="713"/>
      <c r="AC41" s="713"/>
      <c r="AD41" s="713"/>
      <c r="AE41" s="713"/>
    </row>
    <row r="42" spans="1:31">
      <c r="A42" s="713"/>
      <c r="B42" s="713"/>
      <c r="C42" s="713"/>
      <c r="D42" s="713"/>
      <c r="E42" s="713"/>
      <c r="F42" s="713"/>
      <c r="G42" s="713"/>
      <c r="H42" s="713"/>
      <c r="I42" s="713"/>
      <c r="J42" s="556"/>
      <c r="K42" s="713"/>
      <c r="L42" s="713"/>
      <c r="M42" s="713"/>
      <c r="N42" s="713"/>
      <c r="O42" s="712"/>
      <c r="P42" s="712"/>
      <c r="Q42" s="713"/>
      <c r="R42" s="713"/>
      <c r="S42" s="713"/>
      <c r="T42" s="713"/>
      <c r="U42" s="712"/>
      <c r="V42" s="712"/>
      <c r="W42" s="712"/>
      <c r="X42" s="712"/>
      <c r="Y42" s="713"/>
      <c r="Z42" s="713"/>
      <c r="AA42" s="713"/>
      <c r="AB42" s="713"/>
      <c r="AC42" s="713"/>
      <c r="AD42" s="713"/>
      <c r="AE42" s="713"/>
    </row>
    <row r="43" spans="1:31">
      <c r="A43" s="713"/>
      <c r="B43" s="713"/>
      <c r="C43" s="713"/>
      <c r="D43" s="713"/>
      <c r="E43" s="713"/>
      <c r="F43" s="713"/>
      <c r="G43" s="713"/>
      <c r="H43" s="713"/>
      <c r="I43" s="713"/>
      <c r="J43" s="556"/>
      <c r="K43" s="713"/>
      <c r="L43" s="713"/>
      <c r="M43" s="713"/>
      <c r="N43" s="713"/>
      <c r="O43" s="712"/>
      <c r="P43" s="712"/>
      <c r="Q43" s="713"/>
      <c r="R43" s="713"/>
      <c r="S43" s="713"/>
      <c r="T43" s="713"/>
      <c r="U43" s="712"/>
      <c r="V43" s="712"/>
      <c r="W43" s="712"/>
      <c r="X43" s="712"/>
      <c r="Y43" s="713"/>
      <c r="Z43" s="713"/>
      <c r="AA43" s="713"/>
      <c r="AB43" s="713"/>
      <c r="AC43" s="713"/>
      <c r="AD43" s="713"/>
      <c r="AE43" s="713"/>
    </row>
    <row r="44" spans="1:31">
      <c r="A44" s="713"/>
      <c r="B44" s="713"/>
      <c r="C44" s="713"/>
      <c r="D44" s="713"/>
      <c r="E44" s="713"/>
      <c r="F44" s="713"/>
      <c r="G44" s="713"/>
      <c r="H44" s="713"/>
      <c r="I44" s="713"/>
      <c r="J44" s="556"/>
      <c r="K44" s="713"/>
      <c r="L44" s="713"/>
      <c r="M44" s="713"/>
      <c r="N44" s="713"/>
      <c r="O44" s="712"/>
      <c r="P44" s="712"/>
      <c r="Q44" s="713"/>
      <c r="R44" s="713"/>
      <c r="S44" s="713"/>
      <c r="T44" s="713"/>
      <c r="U44" s="712"/>
      <c r="V44" s="712"/>
      <c r="W44" s="712"/>
      <c r="X44" s="712"/>
      <c r="Y44" s="713"/>
      <c r="Z44" s="713"/>
      <c r="AA44" s="713"/>
      <c r="AB44" s="713"/>
      <c r="AC44" s="713"/>
      <c r="AD44" s="713"/>
      <c r="AE44" s="713"/>
    </row>
    <row r="45" spans="1:31">
      <c r="A45" s="713"/>
      <c r="B45" s="713"/>
      <c r="C45" s="713"/>
      <c r="D45" s="713"/>
      <c r="E45" s="713"/>
      <c r="F45" s="713"/>
      <c r="G45" s="713"/>
      <c r="H45" s="713"/>
      <c r="I45" s="713"/>
      <c r="J45" s="556"/>
      <c r="K45" s="713"/>
      <c r="L45" s="713"/>
      <c r="M45" s="713"/>
      <c r="N45" s="713"/>
      <c r="O45" s="712"/>
      <c r="P45" s="712"/>
      <c r="Q45" s="713"/>
      <c r="R45" s="713"/>
      <c r="S45" s="713"/>
      <c r="T45" s="713"/>
      <c r="U45" s="712"/>
      <c r="V45" s="712"/>
      <c r="W45" s="712"/>
      <c r="X45" s="712"/>
      <c r="Y45" s="713"/>
      <c r="Z45" s="713"/>
      <c r="AA45" s="713"/>
      <c r="AB45" s="713"/>
      <c r="AC45" s="713"/>
      <c r="AD45" s="713"/>
      <c r="AE45" s="713"/>
    </row>
  </sheetData>
  <mergeCells count="463">
    <mergeCell ref="Q39:R39"/>
    <mergeCell ref="S39:T39"/>
    <mergeCell ref="U39:V39"/>
    <mergeCell ref="W39:X39"/>
    <mergeCell ref="Y39:AA39"/>
    <mergeCell ref="AB39:AE39"/>
    <mergeCell ref="A39:B39"/>
    <mergeCell ref="C39:F39"/>
    <mergeCell ref="G39:I39"/>
    <mergeCell ref="K39:L39"/>
    <mergeCell ref="M39:N39"/>
    <mergeCell ref="O39:P39"/>
    <mergeCell ref="Q38:R38"/>
    <mergeCell ref="S38:T38"/>
    <mergeCell ref="U38:V38"/>
    <mergeCell ref="W38:X38"/>
    <mergeCell ref="Y38:AA38"/>
    <mergeCell ref="AB38:AE38"/>
    <mergeCell ref="A38:B38"/>
    <mergeCell ref="C38:F38"/>
    <mergeCell ref="G38:I38"/>
    <mergeCell ref="K38:L38"/>
    <mergeCell ref="M38:N38"/>
    <mergeCell ref="O38:P38"/>
    <mergeCell ref="Q37:R37"/>
    <mergeCell ref="S37:T37"/>
    <mergeCell ref="U37:V37"/>
    <mergeCell ref="W37:X37"/>
    <mergeCell ref="Y37:AA37"/>
    <mergeCell ref="AB37:AE37"/>
    <mergeCell ref="A37:B37"/>
    <mergeCell ref="C37:F37"/>
    <mergeCell ref="G37:I37"/>
    <mergeCell ref="K37:L37"/>
    <mergeCell ref="M37:N37"/>
    <mergeCell ref="O37:P37"/>
    <mergeCell ref="Q36:R36"/>
    <mergeCell ref="S36:T36"/>
    <mergeCell ref="U36:V36"/>
    <mergeCell ref="W36:X36"/>
    <mergeCell ref="Y36:AA36"/>
    <mergeCell ref="AB36:AE36"/>
    <mergeCell ref="A36:B36"/>
    <mergeCell ref="C36:F36"/>
    <mergeCell ref="G36:I36"/>
    <mergeCell ref="K36:L36"/>
    <mergeCell ref="M36:N36"/>
    <mergeCell ref="O36:P36"/>
    <mergeCell ref="Q35:R35"/>
    <mergeCell ref="S35:T35"/>
    <mergeCell ref="U35:V35"/>
    <mergeCell ref="W35:X35"/>
    <mergeCell ref="Y35:AA35"/>
    <mergeCell ref="AB35:AE35"/>
    <mergeCell ref="A35:B35"/>
    <mergeCell ref="C35:F35"/>
    <mergeCell ref="G35:I35"/>
    <mergeCell ref="K35:L35"/>
    <mergeCell ref="M35:N35"/>
    <mergeCell ref="O35:P35"/>
    <mergeCell ref="Q34:R34"/>
    <mergeCell ref="S34:T34"/>
    <mergeCell ref="U34:V34"/>
    <mergeCell ref="W34:X34"/>
    <mergeCell ref="Y34:AA34"/>
    <mergeCell ref="AB34:AE34"/>
    <mergeCell ref="A34:B34"/>
    <mergeCell ref="C34:F34"/>
    <mergeCell ref="G34:I34"/>
    <mergeCell ref="K34:L34"/>
    <mergeCell ref="M34:N34"/>
    <mergeCell ref="O34:P34"/>
    <mergeCell ref="Q33:R33"/>
    <mergeCell ref="S33:T33"/>
    <mergeCell ref="U33:V33"/>
    <mergeCell ref="W33:X33"/>
    <mergeCell ref="Y33:AA33"/>
    <mergeCell ref="AB33:AE33"/>
    <mergeCell ref="A33:B33"/>
    <mergeCell ref="C33:F33"/>
    <mergeCell ref="G33:I33"/>
    <mergeCell ref="K33:L33"/>
    <mergeCell ref="M33:N33"/>
    <mergeCell ref="O33:P33"/>
    <mergeCell ref="Q32:R32"/>
    <mergeCell ref="S32:T32"/>
    <mergeCell ref="U32:V32"/>
    <mergeCell ref="W32:X32"/>
    <mergeCell ref="Y32:AA32"/>
    <mergeCell ref="AB32:AE32"/>
    <mergeCell ref="A32:B32"/>
    <mergeCell ref="C32:F32"/>
    <mergeCell ref="G32:I32"/>
    <mergeCell ref="K32:L32"/>
    <mergeCell ref="M32:N32"/>
    <mergeCell ref="O32:P32"/>
    <mergeCell ref="Q31:R31"/>
    <mergeCell ref="S31:T31"/>
    <mergeCell ref="U31:V31"/>
    <mergeCell ref="W31:X31"/>
    <mergeCell ref="Y31:AA31"/>
    <mergeCell ref="AB31:AE31"/>
    <mergeCell ref="A31:B31"/>
    <mergeCell ref="C31:F31"/>
    <mergeCell ref="G31:I31"/>
    <mergeCell ref="K31:L31"/>
    <mergeCell ref="M31:N31"/>
    <mergeCell ref="O31:P31"/>
    <mergeCell ref="Q30:R30"/>
    <mergeCell ref="S30:T30"/>
    <mergeCell ref="U30:V30"/>
    <mergeCell ref="W30:X30"/>
    <mergeCell ref="Y30:AA30"/>
    <mergeCell ref="AB30:AE30"/>
    <mergeCell ref="A30:B30"/>
    <mergeCell ref="C30:F30"/>
    <mergeCell ref="G30:I30"/>
    <mergeCell ref="K30:L30"/>
    <mergeCell ref="M30:N30"/>
    <mergeCell ref="O30:P30"/>
    <mergeCell ref="Q29:R29"/>
    <mergeCell ref="S29:T29"/>
    <mergeCell ref="U29:V29"/>
    <mergeCell ref="W29:X29"/>
    <mergeCell ref="Y29:AA29"/>
    <mergeCell ref="AB29:AE29"/>
    <mergeCell ref="A29:B29"/>
    <mergeCell ref="C29:F29"/>
    <mergeCell ref="G29:I29"/>
    <mergeCell ref="K29:L29"/>
    <mergeCell ref="M29:N29"/>
    <mergeCell ref="O29:P29"/>
    <mergeCell ref="Q28:R28"/>
    <mergeCell ref="S28:T28"/>
    <mergeCell ref="U28:V28"/>
    <mergeCell ref="W28:X28"/>
    <mergeCell ref="Y28:AA28"/>
    <mergeCell ref="AB28:AE28"/>
    <mergeCell ref="A28:B28"/>
    <mergeCell ref="C28:F28"/>
    <mergeCell ref="G28:I28"/>
    <mergeCell ref="K28:L28"/>
    <mergeCell ref="M28:N28"/>
    <mergeCell ref="O28:P28"/>
    <mergeCell ref="Q27:R27"/>
    <mergeCell ref="S27:T27"/>
    <mergeCell ref="U27:V27"/>
    <mergeCell ref="W27:X27"/>
    <mergeCell ref="Y27:AA27"/>
    <mergeCell ref="AB27:AE27"/>
    <mergeCell ref="A27:B27"/>
    <mergeCell ref="C27:F27"/>
    <mergeCell ref="G27:I27"/>
    <mergeCell ref="K27:L27"/>
    <mergeCell ref="M27:N27"/>
    <mergeCell ref="O27:P27"/>
    <mergeCell ref="Q26:R26"/>
    <mergeCell ref="S26:T26"/>
    <mergeCell ref="U26:V26"/>
    <mergeCell ref="W26:X26"/>
    <mergeCell ref="Y26:AA26"/>
    <mergeCell ref="AB26:AE26"/>
    <mergeCell ref="A26:B26"/>
    <mergeCell ref="C26:F26"/>
    <mergeCell ref="G26:I26"/>
    <mergeCell ref="K26:L26"/>
    <mergeCell ref="M26:N26"/>
    <mergeCell ref="O26:P26"/>
    <mergeCell ref="Q25:R25"/>
    <mergeCell ref="S25:T25"/>
    <mergeCell ref="U25:V25"/>
    <mergeCell ref="W25:X25"/>
    <mergeCell ref="Y25:AA25"/>
    <mergeCell ref="AB25:AE25"/>
    <mergeCell ref="A25:B25"/>
    <mergeCell ref="C25:F25"/>
    <mergeCell ref="G25:I25"/>
    <mergeCell ref="K25:L25"/>
    <mergeCell ref="M25:N25"/>
    <mergeCell ref="O25:P25"/>
    <mergeCell ref="Q24:R24"/>
    <mergeCell ref="S24:T24"/>
    <mergeCell ref="U24:V24"/>
    <mergeCell ref="W24:X24"/>
    <mergeCell ref="Y24:AA24"/>
    <mergeCell ref="AB24:AE24"/>
    <mergeCell ref="A24:B24"/>
    <mergeCell ref="C24:F24"/>
    <mergeCell ref="G24:I24"/>
    <mergeCell ref="K24:L24"/>
    <mergeCell ref="M24:N24"/>
    <mergeCell ref="O24:P24"/>
    <mergeCell ref="Q23:R23"/>
    <mergeCell ref="S23:T23"/>
    <mergeCell ref="U23:V23"/>
    <mergeCell ref="W23:X23"/>
    <mergeCell ref="Y23:AA23"/>
    <mergeCell ref="AB23:AE23"/>
    <mergeCell ref="A23:B23"/>
    <mergeCell ref="C23:F23"/>
    <mergeCell ref="G23:I23"/>
    <mergeCell ref="K23:L23"/>
    <mergeCell ref="M23:N23"/>
    <mergeCell ref="O23:P23"/>
    <mergeCell ref="Q22:R22"/>
    <mergeCell ref="S22:T22"/>
    <mergeCell ref="U22:V22"/>
    <mergeCell ref="W22:X22"/>
    <mergeCell ref="Y22:AA22"/>
    <mergeCell ref="AB22:AE22"/>
    <mergeCell ref="A22:B22"/>
    <mergeCell ref="C22:F22"/>
    <mergeCell ref="G22:I22"/>
    <mergeCell ref="K22:L22"/>
    <mergeCell ref="M22:N22"/>
    <mergeCell ref="O22:P22"/>
    <mergeCell ref="Q21:R21"/>
    <mergeCell ref="S21:T21"/>
    <mergeCell ref="U21:V21"/>
    <mergeCell ref="W21:X21"/>
    <mergeCell ref="Y21:AA21"/>
    <mergeCell ref="AB21:AE21"/>
    <mergeCell ref="A21:B21"/>
    <mergeCell ref="C21:F21"/>
    <mergeCell ref="G21:I21"/>
    <mergeCell ref="K21:L21"/>
    <mergeCell ref="M21:N21"/>
    <mergeCell ref="O21:P21"/>
    <mergeCell ref="Q20:R20"/>
    <mergeCell ref="S20:T20"/>
    <mergeCell ref="U20:V20"/>
    <mergeCell ref="W20:X20"/>
    <mergeCell ref="Y20:AA20"/>
    <mergeCell ref="AB20:AE20"/>
    <mergeCell ref="A20:B20"/>
    <mergeCell ref="C20:F20"/>
    <mergeCell ref="G20:I20"/>
    <mergeCell ref="K20:L20"/>
    <mergeCell ref="M20:N20"/>
    <mergeCell ref="O20:P20"/>
    <mergeCell ref="Q19:R19"/>
    <mergeCell ref="S19:T19"/>
    <mergeCell ref="U19:V19"/>
    <mergeCell ref="W19:X19"/>
    <mergeCell ref="Y19:AA19"/>
    <mergeCell ref="AB19:AE19"/>
    <mergeCell ref="A19:B19"/>
    <mergeCell ref="C19:F19"/>
    <mergeCell ref="G19:I19"/>
    <mergeCell ref="K19:L19"/>
    <mergeCell ref="M19:N19"/>
    <mergeCell ref="O19:P19"/>
    <mergeCell ref="Q18:R18"/>
    <mergeCell ref="S18:T18"/>
    <mergeCell ref="U18:V18"/>
    <mergeCell ref="W18:X18"/>
    <mergeCell ref="Y18:AA18"/>
    <mergeCell ref="AB18:AE18"/>
    <mergeCell ref="U17:V17"/>
    <mergeCell ref="W17:X17"/>
    <mergeCell ref="Y17:AA17"/>
    <mergeCell ref="AB17:AE17"/>
    <mergeCell ref="A18:B18"/>
    <mergeCell ref="C18:F18"/>
    <mergeCell ref="G18:I18"/>
    <mergeCell ref="K18:L18"/>
    <mergeCell ref="M18:N18"/>
    <mergeCell ref="O18:P18"/>
    <mergeCell ref="Q16:R16"/>
    <mergeCell ref="S16:T16"/>
    <mergeCell ref="U16:V16"/>
    <mergeCell ref="W16:X16"/>
    <mergeCell ref="Y16:AA16"/>
    <mergeCell ref="AB16:AE16"/>
    <mergeCell ref="S15:T15"/>
    <mergeCell ref="U15:V15"/>
    <mergeCell ref="W15:X15"/>
    <mergeCell ref="Y15:AA15"/>
    <mergeCell ref="AB15:AE15"/>
    <mergeCell ref="A16:B16"/>
    <mergeCell ref="C16:F16"/>
    <mergeCell ref="G16:I16"/>
    <mergeCell ref="K16:L16"/>
    <mergeCell ref="M16:N16"/>
    <mergeCell ref="A15:B15"/>
    <mergeCell ref="C15:F15"/>
    <mergeCell ref="G15:I15"/>
    <mergeCell ref="K15:L15"/>
    <mergeCell ref="O15:P15"/>
    <mergeCell ref="Q15:R15"/>
    <mergeCell ref="Q14:R14"/>
    <mergeCell ref="S14:T14"/>
    <mergeCell ref="U14:V14"/>
    <mergeCell ref="W14:X14"/>
    <mergeCell ref="Y14:AA14"/>
    <mergeCell ref="AB14:AE14"/>
    <mergeCell ref="U13:V13"/>
    <mergeCell ref="W13:X13"/>
    <mergeCell ref="Y13:AA13"/>
    <mergeCell ref="AB13:AE13"/>
    <mergeCell ref="A14:B14"/>
    <mergeCell ref="C14:F14"/>
    <mergeCell ref="G14:I14"/>
    <mergeCell ref="K14:L14"/>
    <mergeCell ref="M14:N14"/>
    <mergeCell ref="O14:P14"/>
    <mergeCell ref="A13:B13"/>
    <mergeCell ref="C13:F13"/>
    <mergeCell ref="G13:I13"/>
    <mergeCell ref="K13:L13"/>
    <mergeCell ref="Q13:R13"/>
    <mergeCell ref="S13:T13"/>
    <mergeCell ref="Q12:R12"/>
    <mergeCell ref="S12:T12"/>
    <mergeCell ref="U12:V12"/>
    <mergeCell ref="W12:X12"/>
    <mergeCell ref="Y12:AA12"/>
    <mergeCell ref="AB12:AE12"/>
    <mergeCell ref="U11:V11"/>
    <mergeCell ref="W11:X11"/>
    <mergeCell ref="Y11:AA11"/>
    <mergeCell ref="AB11:AE11"/>
    <mergeCell ref="A12:B12"/>
    <mergeCell ref="C12:F12"/>
    <mergeCell ref="G12:I12"/>
    <mergeCell ref="K12:L12"/>
    <mergeCell ref="M12:N12"/>
    <mergeCell ref="O12:P12"/>
    <mergeCell ref="A11:B11"/>
    <mergeCell ref="C11:F11"/>
    <mergeCell ref="G11:I11"/>
    <mergeCell ref="K11:L11"/>
    <mergeCell ref="Q11:R11"/>
    <mergeCell ref="S11:T11"/>
    <mergeCell ref="Q17:R17"/>
    <mergeCell ref="S17:T17"/>
    <mergeCell ref="A17:B17"/>
    <mergeCell ref="C17:F17"/>
    <mergeCell ref="G17:I17"/>
    <mergeCell ref="K17:L17"/>
    <mergeCell ref="M17:N17"/>
    <mergeCell ref="O17:P17"/>
    <mergeCell ref="M11:N11"/>
    <mergeCell ref="O11:P11"/>
    <mergeCell ref="M13:N13"/>
    <mergeCell ref="O13:P13"/>
    <mergeCell ref="M15:N15"/>
    <mergeCell ref="O16:P16"/>
    <mergeCell ref="V4:AE4"/>
    <mergeCell ref="V5:AE5"/>
    <mergeCell ref="A6:B9"/>
    <mergeCell ref="C6:F9"/>
    <mergeCell ref="G6:I9"/>
    <mergeCell ref="J7:J9"/>
    <mergeCell ref="J6:N6"/>
    <mergeCell ref="O6:P9"/>
    <mergeCell ref="K7:L9"/>
    <mergeCell ref="M7:N9"/>
    <mergeCell ref="AB10:AE10"/>
    <mergeCell ref="S7:T9"/>
    <mergeCell ref="U7:X7"/>
    <mergeCell ref="U10:V10"/>
    <mergeCell ref="W10:X10"/>
    <mergeCell ref="W8:X9"/>
    <mergeCell ref="Y7:AA9"/>
    <mergeCell ref="AB6:AE9"/>
    <mergeCell ref="O10:P10"/>
    <mergeCell ref="Q10:R10"/>
    <mergeCell ref="S10:T10"/>
    <mergeCell ref="M3:U3"/>
    <mergeCell ref="G10:I10"/>
    <mergeCell ref="K10:L10"/>
    <mergeCell ref="M4:U4"/>
    <mergeCell ref="M5:U5"/>
    <mergeCell ref="V2:Z2"/>
    <mergeCell ref="V3:Z3"/>
    <mergeCell ref="AA2:AE2"/>
    <mergeCell ref="AA3:AE3"/>
    <mergeCell ref="M2:U2"/>
    <mergeCell ref="Y10:AA10"/>
    <mergeCell ref="Q6:AA6"/>
    <mergeCell ref="Q7:R9"/>
    <mergeCell ref="U8:V9"/>
    <mergeCell ref="M10:N10"/>
    <mergeCell ref="A2:L2"/>
    <mergeCell ref="A3:L3"/>
    <mergeCell ref="A40:B40"/>
    <mergeCell ref="C40:F40"/>
    <mergeCell ref="G40:I40"/>
    <mergeCell ref="K40:L40"/>
    <mergeCell ref="A4:L4"/>
    <mergeCell ref="A5:L5"/>
    <mergeCell ref="A10:B10"/>
    <mergeCell ref="C10:F10"/>
    <mergeCell ref="Y40:AA40"/>
    <mergeCell ref="AB40:AE40"/>
    <mergeCell ref="M40:N40"/>
    <mergeCell ref="O40:P40"/>
    <mergeCell ref="Q40:R40"/>
    <mergeCell ref="S40:T40"/>
    <mergeCell ref="A41:B41"/>
    <mergeCell ref="C41:F41"/>
    <mergeCell ref="G41:I41"/>
    <mergeCell ref="K41:L41"/>
    <mergeCell ref="U40:V40"/>
    <mergeCell ref="W40:X40"/>
    <mergeCell ref="U41:V41"/>
    <mergeCell ref="W41:X41"/>
    <mergeCell ref="Y41:AA41"/>
    <mergeCell ref="AB41:AE41"/>
    <mergeCell ref="M41:N41"/>
    <mergeCell ref="O41:P41"/>
    <mergeCell ref="Q41:R41"/>
    <mergeCell ref="S41:T41"/>
    <mergeCell ref="Y42:AA42"/>
    <mergeCell ref="AB42:AE42"/>
    <mergeCell ref="M42:N42"/>
    <mergeCell ref="O42:P42"/>
    <mergeCell ref="Q42:R42"/>
    <mergeCell ref="S42:T42"/>
    <mergeCell ref="A43:B43"/>
    <mergeCell ref="C43:F43"/>
    <mergeCell ref="G43:I43"/>
    <mergeCell ref="K43:L43"/>
    <mergeCell ref="U42:V42"/>
    <mergeCell ref="W42:X42"/>
    <mergeCell ref="A42:B42"/>
    <mergeCell ref="C42:F42"/>
    <mergeCell ref="G42:I42"/>
    <mergeCell ref="K42:L42"/>
    <mergeCell ref="U43:V43"/>
    <mergeCell ref="W43:X43"/>
    <mergeCell ref="Y43:AA43"/>
    <mergeCell ref="AB43:AE43"/>
    <mergeCell ref="M43:N43"/>
    <mergeCell ref="O43:P43"/>
    <mergeCell ref="Q43:R43"/>
    <mergeCell ref="S43:T43"/>
    <mergeCell ref="AB44:AE44"/>
    <mergeCell ref="M44:N44"/>
    <mergeCell ref="O44:P44"/>
    <mergeCell ref="Q44:R44"/>
    <mergeCell ref="S44:T44"/>
    <mergeCell ref="A44:B44"/>
    <mergeCell ref="C44:F44"/>
    <mergeCell ref="G44:I44"/>
    <mergeCell ref="K44:L44"/>
    <mergeCell ref="C45:F45"/>
    <mergeCell ref="G45:I45"/>
    <mergeCell ref="K45:L45"/>
    <mergeCell ref="U44:V44"/>
    <mergeCell ref="W44:X44"/>
    <mergeCell ref="Y44:AA44"/>
    <mergeCell ref="A1:AE1"/>
    <mergeCell ref="U45:V45"/>
    <mergeCell ref="W45:X45"/>
    <mergeCell ref="Y45:AA45"/>
    <mergeCell ref="AB45:AE45"/>
    <mergeCell ref="M45:N45"/>
    <mergeCell ref="O45:P45"/>
    <mergeCell ref="Q45:R45"/>
    <mergeCell ref="S45:T45"/>
    <mergeCell ref="A45:B45"/>
  </mergeCells>
  <phoneticPr fontId="10" type="noConversion"/>
  <printOptions horizontalCentered="1"/>
  <pageMargins left="0.5" right="0.5" top="0.25" bottom="0.35" header="0" footer="0.35"/>
  <pageSetup fitToHeight="0" orientation="landscape" horizontalDpi="300" verticalDpi="300" r:id="rId1"/>
  <headerFooter alignWithMargins="0">
    <oddHeader>&amp;R&amp;8&amp;P of &amp;N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48B45-9F6C-4035-BF16-27F694FC02F6}">
  <sheetPr>
    <pageSetUpPr fitToPage="1"/>
  </sheetPr>
  <dimension ref="A1:L50"/>
  <sheetViews>
    <sheetView workbookViewId="0"/>
  </sheetViews>
  <sheetFormatPr defaultRowHeight="12.75"/>
  <sheetData>
    <row r="1" spans="1:12" ht="18">
      <c r="A1" s="156" t="s">
        <v>173</v>
      </c>
      <c r="B1" s="5"/>
      <c r="C1" s="5"/>
      <c r="D1" s="5"/>
      <c r="E1" s="5"/>
      <c r="F1" s="5"/>
      <c r="G1" s="5"/>
      <c r="H1" s="5"/>
      <c r="I1" s="5"/>
      <c r="J1" s="5"/>
    </row>
    <row r="2" spans="1:12" ht="18">
      <c r="A2" s="156" t="s">
        <v>94</v>
      </c>
      <c r="B2" s="5"/>
      <c r="C2" s="5"/>
      <c r="D2" s="5"/>
      <c r="E2" s="5"/>
      <c r="F2" s="5"/>
      <c r="G2" s="5"/>
      <c r="H2" s="5"/>
      <c r="I2" s="5"/>
      <c r="J2" s="5"/>
    </row>
    <row r="4" spans="1:12">
      <c r="A4" s="157" t="s">
        <v>95</v>
      </c>
      <c r="B4" s="158"/>
      <c r="C4" s="158"/>
      <c r="D4" s="159"/>
      <c r="E4" s="157" t="s">
        <v>96</v>
      </c>
      <c r="F4" s="158"/>
      <c r="G4" s="159"/>
      <c r="H4" s="157" t="s">
        <v>97</v>
      </c>
      <c r="I4" s="158"/>
      <c r="J4" s="159"/>
      <c r="K4" s="160"/>
      <c r="L4" s="160"/>
    </row>
    <row r="5" spans="1:12">
      <c r="A5" s="161" t="str">
        <f>[1]INTRO!$C$9</f>
        <v>NUMBER</v>
      </c>
      <c r="B5" s="131"/>
      <c r="C5" s="131"/>
      <c r="D5" s="162"/>
      <c r="E5" s="118"/>
      <c r="F5" s="131"/>
      <c r="G5" s="162"/>
      <c r="H5" s="118"/>
      <c r="I5" s="131"/>
      <c r="J5" s="162"/>
      <c r="K5" s="163"/>
      <c r="L5" s="163"/>
    </row>
    <row r="6" spans="1:12">
      <c r="A6" s="157" t="s">
        <v>87</v>
      </c>
      <c r="B6" s="158"/>
      <c r="C6" s="158"/>
      <c r="D6" s="159"/>
      <c r="E6" s="157" t="s">
        <v>98</v>
      </c>
      <c r="F6" s="158"/>
      <c r="G6" s="159"/>
      <c r="H6" s="157" t="s">
        <v>99</v>
      </c>
      <c r="I6" s="158"/>
      <c r="J6" s="159"/>
      <c r="K6" s="160"/>
      <c r="L6" s="160"/>
    </row>
    <row r="7" spans="1:12">
      <c r="A7" s="161" t="str">
        <f>[1]INTRO!$C$8</f>
        <v>NAME</v>
      </c>
      <c r="B7" s="131"/>
      <c r="C7" s="131"/>
      <c r="D7" s="162"/>
      <c r="E7" s="118"/>
      <c r="F7" s="131"/>
      <c r="G7" s="162"/>
      <c r="H7" s="118"/>
      <c r="I7" s="131"/>
      <c r="J7" s="162"/>
      <c r="K7" s="163"/>
      <c r="L7" s="163"/>
    </row>
    <row r="8" spans="1:12">
      <c r="A8" s="164" t="s">
        <v>100</v>
      </c>
      <c r="B8" s="165"/>
      <c r="C8" s="165"/>
      <c r="D8" s="166"/>
      <c r="E8" s="164" t="s">
        <v>101</v>
      </c>
      <c r="F8" s="165"/>
      <c r="G8" s="157" t="s">
        <v>102</v>
      </c>
      <c r="H8" s="159"/>
      <c r="I8" s="157" t="s">
        <v>103</v>
      </c>
      <c r="J8" s="159"/>
      <c r="K8" s="160"/>
      <c r="L8" s="160"/>
    </row>
    <row r="9" spans="1:12">
      <c r="A9" s="118"/>
      <c r="B9" s="167"/>
      <c r="C9" s="167"/>
      <c r="D9" s="168"/>
      <c r="E9" s="118"/>
      <c r="F9" s="167"/>
      <c r="G9" s="169"/>
      <c r="H9" s="170"/>
      <c r="I9" s="171"/>
      <c r="J9" s="172"/>
      <c r="K9" s="163"/>
      <c r="L9" s="163"/>
    </row>
    <row r="12" spans="1:12">
      <c r="A12" s="173" t="s">
        <v>104</v>
      </c>
      <c r="B12" s="174"/>
      <c r="C12" s="174"/>
      <c r="D12" s="175"/>
      <c r="E12" s="176"/>
      <c r="F12" s="176"/>
      <c r="G12" s="176"/>
      <c r="H12" s="176"/>
      <c r="I12" s="176"/>
      <c r="J12" s="176"/>
    </row>
    <row r="13" spans="1:12" ht="15.75">
      <c r="A13" s="177" t="s">
        <v>66</v>
      </c>
      <c r="B13" s="177" t="s">
        <v>105</v>
      </c>
      <c r="C13" s="177" t="s">
        <v>106</v>
      </c>
      <c r="D13" s="177" t="s">
        <v>107</v>
      </c>
      <c r="E13" s="176"/>
      <c r="F13" t="s">
        <v>108</v>
      </c>
      <c r="G13" s="176"/>
      <c r="H13" s="176"/>
      <c r="I13" s="176"/>
      <c r="J13" s="176"/>
    </row>
    <row r="14" spans="1:12">
      <c r="A14" s="177">
        <v>1</v>
      </c>
      <c r="B14" s="178"/>
      <c r="C14" s="179"/>
      <c r="D14" s="180">
        <f>IF(AND(C14=0,C15=0),0,IF(AND(C14=0,C15&lt;&gt;0),0.025,IF(C14&lt;10,(C14+0.5)/20,IF(C14=10,0.5,IF(AND(C14&gt;10,C14&lt;20),(C14-0.5)/20,IF(AND(C14=20,A14&lt;&gt;9),0.975,IF(AND(C14=20,A14=9),1,"?")))))))</f>
        <v>0</v>
      </c>
      <c r="E14" s="176"/>
      <c r="F14" s="181" t="s">
        <v>109</v>
      </c>
      <c r="G14" s="182"/>
      <c r="H14" s="176"/>
      <c r="I14" s="176"/>
      <c r="J14" s="176"/>
    </row>
    <row r="15" spans="1:12">
      <c r="A15" s="177">
        <v>2</v>
      </c>
      <c r="B15" s="178"/>
      <c r="C15" s="179"/>
      <c r="D15" s="180">
        <f t="shared" ref="D15:D22" si="0">IF(AND(C15=0,C16=0),0,IF(AND(C15=0,C16&lt;&gt;0),0.025,IF(C15&lt;10,(C15+0.5)/20,IF(C15=10,0.5,IF(AND(C15&gt;10,C15&lt;20),(C15-0.5)/20,IF(AND(C15=20,A15&lt;&gt;9),0.975,IF(AND(C15=20,A15=9),1,"?")))))))</f>
        <v>0</v>
      </c>
      <c r="E15" s="176"/>
      <c r="G15" s="182"/>
      <c r="H15" s="176"/>
      <c r="I15" s="176"/>
      <c r="J15" s="176"/>
    </row>
    <row r="16" spans="1:12">
      <c r="A16" s="177">
        <v>3</v>
      </c>
      <c r="B16" s="178"/>
      <c r="C16" s="179"/>
      <c r="D16" s="180">
        <f t="shared" si="0"/>
        <v>0</v>
      </c>
      <c r="E16" s="176"/>
      <c r="G16" s="182"/>
      <c r="H16" s="176"/>
      <c r="I16" s="176"/>
      <c r="J16" s="176"/>
    </row>
    <row r="17" spans="1:10">
      <c r="A17" s="177">
        <v>4</v>
      </c>
      <c r="B17" s="178"/>
      <c r="C17" s="179"/>
      <c r="D17" s="180">
        <f t="shared" si="0"/>
        <v>0</v>
      </c>
      <c r="E17" s="176"/>
      <c r="G17" s="182"/>
      <c r="H17" s="176"/>
      <c r="I17" s="176"/>
      <c r="J17" s="176"/>
    </row>
    <row r="18" spans="1:10">
      <c r="A18" s="177">
        <v>5</v>
      </c>
      <c r="B18" s="178"/>
      <c r="C18" s="179"/>
      <c r="D18" s="180">
        <f t="shared" si="0"/>
        <v>0</v>
      </c>
      <c r="E18" s="176"/>
      <c r="G18" s="182"/>
      <c r="H18" s="176"/>
      <c r="I18" s="176"/>
      <c r="J18" s="176"/>
    </row>
    <row r="19" spans="1:10">
      <c r="A19" s="177">
        <v>6</v>
      </c>
      <c r="B19" s="178"/>
      <c r="C19" s="179"/>
      <c r="D19" s="180">
        <f t="shared" si="0"/>
        <v>0</v>
      </c>
      <c r="E19" s="176"/>
      <c r="G19" s="182"/>
      <c r="H19" s="176"/>
      <c r="I19" s="176"/>
      <c r="J19" s="176"/>
    </row>
    <row r="20" spans="1:10">
      <c r="A20" s="177">
        <v>7</v>
      </c>
      <c r="B20" s="178"/>
      <c r="C20" s="179"/>
      <c r="D20" s="180">
        <f t="shared" si="0"/>
        <v>0</v>
      </c>
      <c r="E20" s="176"/>
      <c r="G20" s="182"/>
      <c r="H20" s="176"/>
      <c r="I20" s="176"/>
      <c r="J20" s="176"/>
    </row>
    <row r="21" spans="1:10">
      <c r="A21" s="177">
        <v>8</v>
      </c>
      <c r="B21" s="178"/>
      <c r="C21" s="179"/>
      <c r="D21" s="180">
        <f t="shared" si="0"/>
        <v>0</v>
      </c>
      <c r="E21" s="176"/>
      <c r="G21" s="182"/>
      <c r="H21" s="176"/>
      <c r="I21" s="176"/>
      <c r="J21" s="176"/>
    </row>
    <row r="22" spans="1:10">
      <c r="A22" s="177">
        <v>9</v>
      </c>
      <c r="B22" s="178"/>
      <c r="C22" s="179"/>
      <c r="D22" s="180">
        <f t="shared" si="0"/>
        <v>0</v>
      </c>
      <c r="E22" s="176"/>
      <c r="G22" s="182"/>
      <c r="H22" s="176"/>
      <c r="I22" s="176"/>
      <c r="J22" s="176"/>
    </row>
    <row r="23" spans="1:10">
      <c r="E23" s="176"/>
      <c r="G23" s="176"/>
      <c r="H23" s="176"/>
      <c r="I23" s="176"/>
      <c r="J23" s="176"/>
    </row>
    <row r="24" spans="1:10">
      <c r="E24" s="176"/>
      <c r="G24" s="176"/>
      <c r="H24" s="176"/>
      <c r="I24" s="176"/>
      <c r="J24" s="176"/>
    </row>
    <row r="25" spans="1:10">
      <c r="B25" t="s">
        <v>110</v>
      </c>
      <c r="E25" s="176"/>
      <c r="G25" s="176"/>
      <c r="H25" s="176"/>
      <c r="I25" s="176"/>
      <c r="J25" s="176"/>
    </row>
    <row r="26" spans="1:10">
      <c r="B26" t="s">
        <v>111</v>
      </c>
      <c r="E26" s="176"/>
      <c r="G26" s="176"/>
      <c r="H26" s="176"/>
      <c r="I26" s="176"/>
      <c r="J26" s="176"/>
    </row>
    <row r="27" spans="1:10" ht="15.75">
      <c r="B27" s="5" t="s">
        <v>112</v>
      </c>
      <c r="C27" s="5"/>
      <c r="D27" s="179"/>
      <c r="E27" s="176"/>
      <c r="F27" s="176"/>
      <c r="G27" s="176"/>
      <c r="H27" s="176"/>
      <c r="I27" s="176"/>
      <c r="J27" s="176"/>
    </row>
    <row r="28" spans="1:10" ht="15.75">
      <c r="B28" s="5" t="s">
        <v>113</v>
      </c>
      <c r="C28" s="5"/>
      <c r="D28" s="179"/>
      <c r="E28" s="176"/>
      <c r="F28" s="176"/>
      <c r="G28" s="176"/>
      <c r="H28" s="176"/>
      <c r="I28" s="176"/>
      <c r="J28" s="176"/>
    </row>
    <row r="29" spans="1:10" ht="15.75">
      <c r="B29" s="5" t="s">
        <v>114</v>
      </c>
      <c r="C29" s="5"/>
      <c r="D29" s="179"/>
      <c r="E29" s="176"/>
      <c r="F29" s="176"/>
      <c r="G29" s="176"/>
      <c r="H29" s="176"/>
      <c r="I29" s="176"/>
      <c r="J29" s="176"/>
    </row>
    <row r="30" spans="1:10">
      <c r="E30" s="176"/>
      <c r="F30" s="176"/>
      <c r="G30" s="176"/>
      <c r="H30" s="176"/>
      <c r="I30" s="176"/>
      <c r="J30" s="176"/>
    </row>
    <row r="31" spans="1:10">
      <c r="E31" s="176"/>
      <c r="F31" s="176"/>
      <c r="G31" s="176"/>
      <c r="H31" s="176"/>
      <c r="I31" s="176"/>
      <c r="J31" s="176"/>
    </row>
    <row r="32" spans="1:10">
      <c r="E32" s="176"/>
      <c r="F32" s="176"/>
      <c r="G32" s="176"/>
      <c r="H32" s="176"/>
      <c r="I32" s="176"/>
      <c r="J32" s="176"/>
    </row>
    <row r="33" spans="1:10">
      <c r="E33" s="176"/>
      <c r="F33" s="176"/>
      <c r="G33" s="176"/>
      <c r="H33" s="176"/>
      <c r="I33" s="176"/>
      <c r="J33" s="176"/>
    </row>
    <row r="34" spans="1:10" ht="15.75">
      <c r="A34" s="183" t="s">
        <v>115</v>
      </c>
      <c r="B34" s="184"/>
      <c r="C34" s="184"/>
      <c r="D34" s="185"/>
      <c r="E34" s="184"/>
      <c r="F34" s="184"/>
      <c r="G34" s="184"/>
      <c r="H34" s="186"/>
      <c r="I34" s="124"/>
      <c r="J34" s="125"/>
    </row>
    <row r="35" spans="1:10">
      <c r="A35" s="187" t="s">
        <v>116</v>
      </c>
      <c r="B35" s="123"/>
      <c r="C35" s="123"/>
      <c r="D35" s="123"/>
      <c r="E35" s="123"/>
      <c r="F35" s="187" t="s">
        <v>117</v>
      </c>
      <c r="G35" s="123"/>
      <c r="H35" s="123"/>
      <c r="I35" s="123"/>
      <c r="J35" s="188"/>
    </row>
    <row r="36" spans="1:10">
      <c r="A36" s="189"/>
      <c r="B36" s="190" t="s">
        <v>118</v>
      </c>
      <c r="C36" s="4" t="s">
        <v>119</v>
      </c>
      <c r="D36" s="126" t="str">
        <f>IF(D27&lt;&gt;"",CONCATENATE(TEXT($I$9,"0.0000")," - (",TEXT($D$27,"0.000"),")"),"")</f>
        <v/>
      </c>
      <c r="E36" s="1"/>
      <c r="F36" s="191" t="s">
        <v>120</v>
      </c>
      <c r="G36" s="4" t="s">
        <v>119</v>
      </c>
      <c r="H36" s="126" t="str">
        <f>IF(D27&lt;&gt;"",CONCATENATE("(",TEXT($D$28,"0.0000")," - (",TEXT($D$29,"0.0000"),")) / ",1.08),"")</f>
        <v/>
      </c>
      <c r="I36" s="1"/>
      <c r="J36" s="117"/>
    </row>
    <row r="37" spans="1:10">
      <c r="A37" s="192"/>
      <c r="B37" s="4"/>
      <c r="C37" s="4" t="s">
        <v>119</v>
      </c>
      <c r="D37" s="193" t="str">
        <f>IF(D27&lt;&gt;"",$I$9-$D$27,"")</f>
        <v/>
      </c>
      <c r="E37" s="1"/>
      <c r="F37" s="192"/>
      <c r="G37" s="4" t="s">
        <v>119</v>
      </c>
      <c r="H37" s="193" t="str">
        <f>IF(D27&lt;&gt;"",($D$28-$D$29)/1.08,"")</f>
        <v/>
      </c>
      <c r="I37" s="1"/>
      <c r="J37" s="117"/>
    </row>
    <row r="38" spans="1:10">
      <c r="A38" s="194"/>
      <c r="B38" s="195"/>
      <c r="C38" s="196"/>
      <c r="D38" s="119"/>
      <c r="E38" s="119"/>
      <c r="F38" s="194"/>
      <c r="G38" s="119"/>
      <c r="H38" s="119"/>
      <c r="I38" s="119"/>
      <c r="J38" s="120"/>
    </row>
    <row r="39" spans="1:10">
      <c r="A39" s="187" t="s">
        <v>121</v>
      </c>
      <c r="B39" s="123"/>
      <c r="C39" s="123"/>
      <c r="D39" s="123"/>
      <c r="E39" s="123"/>
      <c r="F39" s="188"/>
      <c r="G39" s="123"/>
      <c r="H39" s="123"/>
      <c r="I39" s="123"/>
      <c r="J39" s="188"/>
    </row>
    <row r="40" spans="1:10" ht="15.75">
      <c r="A40" s="192"/>
      <c r="B40" s="190" t="s">
        <v>122</v>
      </c>
      <c r="C40" s="4" t="s">
        <v>119</v>
      </c>
      <c r="D40" s="1" t="s">
        <v>123</v>
      </c>
      <c r="E40" s="1"/>
      <c r="F40" s="117"/>
      <c r="G40" s="190" t="s">
        <v>124</v>
      </c>
      <c r="H40" s="4" t="s">
        <v>119</v>
      </c>
      <c r="I40" s="4">
        <v>2.093</v>
      </c>
      <c r="J40" s="117"/>
    </row>
    <row r="41" spans="1:10">
      <c r="A41" s="192"/>
      <c r="B41" s="1"/>
      <c r="C41" s="4" t="s">
        <v>119</v>
      </c>
      <c r="D41" s="126" t="str">
        <f>IF(D27&lt;&gt;"",CONCATENATE("31.3 x ",TEXT(ABS($D$37),"0.0000")," / ",TEXT($H$37,"0.0000")),"")</f>
        <v/>
      </c>
      <c r="E41" s="1"/>
      <c r="F41" s="117"/>
      <c r="G41" s="1"/>
      <c r="H41" s="1"/>
      <c r="I41" s="1"/>
      <c r="J41" s="117"/>
    </row>
    <row r="42" spans="1:10">
      <c r="A42" s="192"/>
      <c r="B42" s="1"/>
      <c r="C42" s="4" t="s">
        <v>119</v>
      </c>
      <c r="D42" s="197" t="str">
        <f>IF(D27&lt;&gt;"",31.3*ABS($D$37)/$H$37,"")</f>
        <v/>
      </c>
      <c r="E42" s="1"/>
      <c r="F42" s="117"/>
      <c r="G42" s="1"/>
      <c r="H42" s="1"/>
      <c r="I42" s="1"/>
      <c r="J42" s="117"/>
    </row>
    <row r="43" spans="1:10">
      <c r="A43" s="194"/>
      <c r="B43" s="119"/>
      <c r="C43" s="119"/>
      <c r="D43" s="119"/>
      <c r="E43" s="119"/>
      <c r="F43" s="120"/>
      <c r="G43" s="119"/>
      <c r="H43" s="119"/>
      <c r="I43" s="119"/>
      <c r="J43" s="120"/>
    </row>
    <row r="44" spans="1:10">
      <c r="A44" s="187" t="s">
        <v>125</v>
      </c>
      <c r="B44" s="123"/>
      <c r="C44" s="123"/>
      <c r="D44" s="123"/>
      <c r="E44" s="123"/>
      <c r="F44" s="123"/>
      <c r="G44" s="123"/>
      <c r="H44" s="123"/>
      <c r="I44" s="123"/>
      <c r="J44" s="188"/>
    </row>
    <row r="45" spans="1:10">
      <c r="A45" s="198"/>
      <c r="B45" s="1"/>
      <c r="C45" s="1"/>
      <c r="D45" s="1"/>
      <c r="E45" s="1"/>
      <c r="F45" s="1"/>
      <c r="G45" s="1"/>
      <c r="H45" s="1"/>
      <c r="I45" s="1"/>
      <c r="J45" s="117"/>
    </row>
    <row r="46" spans="1:10" ht="15">
      <c r="A46" s="192"/>
      <c r="B46" s="199" t="str">
        <f>IF(D27&lt;&gt;"",IF($D$42&gt;$I$40,"The bias is significantly different from zero, the gage FAILS","The bias is insignificant from zero, the gage PASSES."),"")</f>
        <v/>
      </c>
      <c r="C46" s="1"/>
      <c r="D46" s="1"/>
      <c r="E46" s="1"/>
      <c r="F46" s="1"/>
      <c r="G46" s="1"/>
      <c r="H46" s="1"/>
      <c r="I46" s="1"/>
      <c r="J46" s="117"/>
    </row>
    <row r="47" spans="1:10">
      <c r="A47" s="194"/>
      <c r="B47" s="119"/>
      <c r="C47" s="119"/>
      <c r="D47" s="119"/>
      <c r="E47" s="119"/>
      <c r="F47" s="119"/>
      <c r="G47" s="119"/>
      <c r="H47" s="119"/>
      <c r="I47" s="119"/>
      <c r="J47" s="120"/>
    </row>
    <row r="49" spans="6:10">
      <c r="F49" t="s">
        <v>126</v>
      </c>
      <c r="G49" s="200"/>
      <c r="H49" s="200"/>
      <c r="I49" s="200"/>
      <c r="J49" s="200"/>
    </row>
    <row r="50" spans="6:10">
      <c r="G50" s="176"/>
      <c r="H50" s="201" t="s">
        <v>127</v>
      </c>
      <c r="I50" s="201"/>
      <c r="J50" s="176"/>
    </row>
  </sheetData>
  <phoneticPr fontId="10" type="noConversion"/>
  <pageMargins left="0.25" right="0.25" top="0.5" bottom="0.5" header="0.5" footer="0.5"/>
  <pageSetup orientation="portrait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E9275-B83A-44A8-B936-651734E2F0AF}">
  <sheetPr>
    <pageSetUpPr fitToPage="1"/>
  </sheetPr>
  <dimension ref="A1:M60"/>
  <sheetViews>
    <sheetView workbookViewId="0"/>
  </sheetViews>
  <sheetFormatPr defaultRowHeight="12.75"/>
  <sheetData>
    <row r="1" spans="1:1" ht="15.75">
      <c r="A1" s="202" t="s">
        <v>128</v>
      </c>
    </row>
    <row r="3" spans="1:1">
      <c r="A3" t="s">
        <v>129</v>
      </c>
    </row>
    <row r="4" spans="1:1">
      <c r="A4" t="s">
        <v>130</v>
      </c>
    </row>
    <row r="5" spans="1:1">
      <c r="A5" t="s">
        <v>131</v>
      </c>
    </row>
    <row r="6" spans="1:1">
      <c r="A6" t="s">
        <v>132</v>
      </c>
    </row>
    <row r="7" spans="1:1">
      <c r="A7" t="s">
        <v>133</v>
      </c>
    </row>
    <row r="8" spans="1:1">
      <c r="A8" t="s">
        <v>134</v>
      </c>
    </row>
    <row r="9" spans="1:1">
      <c r="A9" t="s">
        <v>135</v>
      </c>
    </row>
    <row r="10" spans="1:1">
      <c r="A10" t="s">
        <v>136</v>
      </c>
    </row>
    <row r="11" spans="1:1">
      <c r="A11" t="s">
        <v>137</v>
      </c>
    </row>
    <row r="12" spans="1:1">
      <c r="A12" t="s">
        <v>138</v>
      </c>
    </row>
    <row r="13" spans="1:1">
      <c r="A13" t="s">
        <v>139</v>
      </c>
    </row>
    <row r="23" spans="1:13">
      <c r="A23" s="203"/>
      <c r="B23" s="123"/>
      <c r="C23" s="123"/>
      <c r="D23" s="123"/>
      <c r="E23" s="123"/>
      <c r="F23" s="123"/>
      <c r="G23" s="123"/>
      <c r="H23" s="123"/>
      <c r="I23" s="123"/>
      <c r="J23" s="123"/>
      <c r="K23" s="123"/>
      <c r="L23" s="123"/>
      <c r="M23" s="188"/>
    </row>
    <row r="24" spans="1:13">
      <c r="A24" s="19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17"/>
    </row>
    <row r="25" spans="1:13">
      <c r="A25" s="19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17"/>
    </row>
    <row r="26" spans="1:13">
      <c r="A26" s="192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17"/>
    </row>
    <row r="27" spans="1:13">
      <c r="A27" s="192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17"/>
    </row>
    <row r="28" spans="1:13">
      <c r="A28" s="19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17"/>
    </row>
    <row r="29" spans="1:13">
      <c r="A29" s="19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17"/>
    </row>
    <row r="30" spans="1:13">
      <c r="A30" s="19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17"/>
    </row>
    <row r="31" spans="1:13">
      <c r="A31" s="19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17"/>
    </row>
    <row r="32" spans="1:13">
      <c r="A32" s="19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17"/>
    </row>
    <row r="33" spans="1:13">
      <c r="A33" s="19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17"/>
    </row>
    <row r="34" spans="1:13">
      <c r="A34" s="19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17"/>
    </row>
    <row r="35" spans="1:13">
      <c r="A35" s="19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17"/>
    </row>
    <row r="36" spans="1:13">
      <c r="A36" s="19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17"/>
    </row>
    <row r="37" spans="1:13">
      <c r="A37" s="19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17"/>
    </row>
    <row r="38" spans="1:13">
      <c r="A38" s="19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17"/>
    </row>
    <row r="39" spans="1:13">
      <c r="A39" s="19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17"/>
    </row>
    <row r="40" spans="1:13">
      <c r="A40" s="19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17"/>
    </row>
    <row r="41" spans="1:13">
      <c r="A41" s="19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17"/>
    </row>
    <row r="42" spans="1:13">
      <c r="A42" s="192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17"/>
    </row>
    <row r="43" spans="1:13">
      <c r="A43" s="192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17"/>
    </row>
    <row r="44" spans="1:13">
      <c r="A44" s="192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17"/>
    </row>
    <row r="45" spans="1:13">
      <c r="A45" s="192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17"/>
    </row>
    <row r="46" spans="1:13">
      <c r="A46" s="192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17"/>
    </row>
    <row r="47" spans="1:13">
      <c r="A47" s="192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17"/>
    </row>
    <row r="48" spans="1:13">
      <c r="A48" s="192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17"/>
    </row>
    <row r="49" spans="1:13">
      <c r="A49" s="192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17"/>
    </row>
    <row r="50" spans="1:13">
      <c r="A50" s="192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17"/>
    </row>
    <row r="51" spans="1:13">
      <c r="A51" s="192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17"/>
    </row>
    <row r="52" spans="1:13">
      <c r="A52" s="192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17"/>
    </row>
    <row r="53" spans="1:13">
      <c r="A53" s="192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17"/>
    </row>
    <row r="54" spans="1:13">
      <c r="A54" s="192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17"/>
    </row>
    <row r="55" spans="1:13">
      <c r="A55" s="192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17"/>
    </row>
    <row r="56" spans="1:13">
      <c r="A56" s="192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17"/>
    </row>
    <row r="57" spans="1:13">
      <c r="A57" s="192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17"/>
    </row>
    <row r="58" spans="1:13">
      <c r="A58" s="192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17"/>
    </row>
    <row r="59" spans="1:13">
      <c r="A59" s="192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17"/>
    </row>
    <row r="60" spans="1:13">
      <c r="A60" s="194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20"/>
    </row>
  </sheetData>
  <phoneticPr fontId="10" type="noConversion"/>
  <pageMargins left="0.75" right="0.75" top="1" bottom="1" header="0.5" footer="0.5"/>
  <pageSetup scale="78" orientation="portrait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12A35-1D32-45E5-BCBB-31BF4AFA0385}">
  <dimension ref="A1:AD99"/>
  <sheetViews>
    <sheetView workbookViewId="0"/>
  </sheetViews>
  <sheetFormatPr defaultRowHeight="12.75"/>
  <cols>
    <col min="12" max="12" width="9.7109375" customWidth="1"/>
  </cols>
  <sheetData>
    <row r="1" spans="1:30" ht="18">
      <c r="D1" s="235" t="s">
        <v>93</v>
      </c>
      <c r="E1" s="235"/>
      <c r="F1" s="235"/>
      <c r="G1" s="235"/>
      <c r="H1" s="235"/>
      <c r="I1" s="8"/>
      <c r="J1" s="8"/>
      <c r="K1" s="8"/>
      <c r="L1" s="8"/>
      <c r="M1" s="8"/>
      <c r="N1" s="160"/>
      <c r="O1" s="160" t="s">
        <v>10</v>
      </c>
      <c r="P1" s="160"/>
      <c r="Q1" s="160"/>
      <c r="R1" s="160"/>
      <c r="S1" s="160"/>
      <c r="T1" s="160"/>
      <c r="U1" s="160"/>
      <c r="V1" s="160"/>
      <c r="W1" s="160"/>
      <c r="X1" s="160"/>
      <c r="Y1" s="160"/>
    </row>
    <row r="2" spans="1:30" ht="18">
      <c r="D2" s="235" t="s">
        <v>174</v>
      </c>
      <c r="E2" s="235"/>
      <c r="F2" s="235"/>
      <c r="N2" s="160"/>
      <c r="O2" s="774" t="s">
        <v>140</v>
      </c>
      <c r="P2" s="774"/>
      <c r="Q2" s="774"/>
      <c r="R2" s="774"/>
      <c r="S2" s="774"/>
      <c r="T2" s="774"/>
      <c r="U2" s="774"/>
      <c r="V2" s="774"/>
      <c r="W2" s="774"/>
      <c r="X2" s="774"/>
      <c r="Y2" s="774"/>
      <c r="Z2" s="774"/>
      <c r="AA2" s="774"/>
    </row>
    <row r="3" spans="1:30">
      <c r="N3" s="160"/>
      <c r="O3" s="160"/>
      <c r="P3" s="160"/>
      <c r="Q3" s="160"/>
      <c r="R3" s="160"/>
      <c r="S3" s="160"/>
      <c r="T3" s="160"/>
      <c r="U3" s="160"/>
      <c r="V3" s="160"/>
      <c r="W3" s="160"/>
      <c r="X3" s="160"/>
      <c r="Y3" s="160"/>
    </row>
    <row r="4" spans="1:30">
      <c r="A4" s="157" t="s">
        <v>95</v>
      </c>
      <c r="B4" s="158"/>
      <c r="C4" s="158"/>
      <c r="D4" s="159"/>
      <c r="E4" s="157" t="s">
        <v>96</v>
      </c>
      <c r="F4" s="158"/>
      <c r="G4" s="159"/>
      <c r="H4" s="157" t="s">
        <v>99</v>
      </c>
      <c r="I4" s="158"/>
      <c r="J4" s="159"/>
      <c r="K4" s="157" t="s">
        <v>141</v>
      </c>
      <c r="L4" s="158"/>
      <c r="M4" s="159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</row>
    <row r="5" spans="1:30">
      <c r="A5" s="755"/>
      <c r="B5" s="756"/>
      <c r="C5" s="756"/>
      <c r="D5" s="757"/>
      <c r="E5" s="749"/>
      <c r="F5" s="750"/>
      <c r="G5" s="751"/>
      <c r="H5" s="749"/>
      <c r="I5" s="750"/>
      <c r="J5" s="751"/>
      <c r="K5" s="749"/>
      <c r="L5" s="750"/>
      <c r="M5" s="751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204"/>
      <c r="Z5" s="163"/>
      <c r="AA5" s="163"/>
      <c r="AB5" s="163"/>
      <c r="AC5" s="163"/>
      <c r="AD5" s="163"/>
    </row>
    <row r="6" spans="1:30">
      <c r="A6" s="157" t="s">
        <v>87</v>
      </c>
      <c r="B6" s="158"/>
      <c r="C6" s="158"/>
      <c r="D6" s="159"/>
      <c r="E6" s="157" t="s">
        <v>98</v>
      </c>
      <c r="F6" s="158"/>
      <c r="G6" s="159"/>
      <c r="H6" s="164" t="s">
        <v>101</v>
      </c>
      <c r="I6" s="160"/>
      <c r="J6" s="160"/>
      <c r="K6" s="157" t="s">
        <v>142</v>
      </c>
      <c r="L6" s="158"/>
      <c r="M6" s="159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</row>
    <row r="7" spans="1:30">
      <c r="A7" s="755"/>
      <c r="B7" s="756"/>
      <c r="C7" s="756"/>
      <c r="D7" s="757"/>
      <c r="E7" s="749"/>
      <c r="F7" s="750"/>
      <c r="G7" s="751"/>
      <c r="H7" s="752"/>
      <c r="I7" s="753"/>
      <c r="J7" s="754"/>
      <c r="K7" s="749"/>
      <c r="L7" s="750"/>
      <c r="M7" s="751"/>
      <c r="N7" s="204"/>
      <c r="O7" s="204"/>
      <c r="P7" s="204"/>
      <c r="Q7" s="204"/>
      <c r="R7" s="204"/>
      <c r="S7" s="204"/>
      <c r="T7" s="204"/>
      <c r="U7" s="204"/>
      <c r="V7" s="204"/>
      <c r="W7" s="204"/>
      <c r="X7" s="204"/>
      <c r="Y7" s="204"/>
      <c r="Z7" s="163"/>
      <c r="AA7" s="163"/>
      <c r="AB7" s="163"/>
      <c r="AC7" s="163"/>
      <c r="AD7" s="163"/>
    </row>
    <row r="8" spans="1:30">
      <c r="A8" s="164" t="s">
        <v>100</v>
      </c>
      <c r="B8" s="165"/>
      <c r="C8" s="165"/>
      <c r="D8" s="165"/>
      <c r="E8" s="164" t="s">
        <v>143</v>
      </c>
      <c r="F8" s="165"/>
      <c r="G8" s="159"/>
      <c r="H8" s="157" t="s">
        <v>144</v>
      </c>
      <c r="I8" s="158"/>
      <c r="J8" s="159"/>
      <c r="K8" s="158" t="s">
        <v>145</v>
      </c>
      <c r="L8" s="158"/>
      <c r="M8" s="159"/>
      <c r="N8" s="160"/>
      <c r="O8" s="160"/>
      <c r="P8" s="160"/>
      <c r="Q8" s="160"/>
      <c r="R8" s="160"/>
      <c r="S8" s="160"/>
      <c r="T8" s="160"/>
      <c r="U8" s="160"/>
      <c r="V8" s="160"/>
      <c r="W8" s="160"/>
      <c r="X8" s="160"/>
      <c r="Y8" s="160"/>
      <c r="Z8" s="160"/>
      <c r="AA8" s="160"/>
      <c r="AB8" s="160"/>
      <c r="AC8" s="160"/>
      <c r="AD8" s="160"/>
    </row>
    <row r="9" spans="1:30">
      <c r="A9" s="749"/>
      <c r="B9" s="750"/>
      <c r="C9" s="750"/>
      <c r="D9" s="751"/>
      <c r="E9" s="752"/>
      <c r="F9" s="753"/>
      <c r="G9" s="754"/>
      <c r="H9" s="752"/>
      <c r="I9" s="753"/>
      <c r="J9" s="754"/>
      <c r="K9" s="749"/>
      <c r="L9" s="750"/>
      <c r="M9" s="751"/>
      <c r="N9" s="204"/>
      <c r="O9" s="204"/>
      <c r="P9" s="204"/>
      <c r="Q9" s="204"/>
      <c r="R9" s="204"/>
      <c r="S9" s="204"/>
      <c r="T9" s="204"/>
      <c r="U9" s="204"/>
      <c r="V9" s="204"/>
      <c r="W9" s="204"/>
      <c r="X9" s="204"/>
      <c r="Y9" s="204"/>
      <c r="Z9" s="163"/>
      <c r="AA9" s="163"/>
      <c r="AB9" s="163"/>
      <c r="AC9" s="163"/>
      <c r="AD9" s="163"/>
    </row>
    <row r="10" spans="1:30">
      <c r="A10" s="205"/>
      <c r="B10" s="205"/>
      <c r="C10" s="205"/>
      <c r="D10" s="205"/>
      <c r="E10" s="206"/>
      <c r="F10" s="206"/>
      <c r="G10" s="206"/>
      <c r="H10" s="206"/>
      <c r="I10" s="206"/>
      <c r="J10" s="206"/>
      <c r="K10" s="205"/>
      <c r="L10" s="130"/>
      <c r="M10" s="130"/>
      <c r="N10" s="204"/>
      <c r="O10" s="204"/>
      <c r="P10" s="204"/>
      <c r="Q10" s="204"/>
      <c r="R10" s="204"/>
      <c r="S10" s="204"/>
      <c r="T10" s="204"/>
      <c r="U10" s="204"/>
      <c r="V10" s="204"/>
      <c r="W10" s="204"/>
      <c r="X10" s="204"/>
      <c r="Y10" s="204"/>
      <c r="Z10" s="163"/>
      <c r="AA10" s="163"/>
      <c r="AB10" s="163"/>
      <c r="AC10" s="163"/>
      <c r="AD10" s="163"/>
    </row>
    <row r="11" spans="1:30" ht="15.75">
      <c r="A11" s="758" t="s">
        <v>146</v>
      </c>
      <c r="B11" s="758"/>
      <c r="C11" s="758"/>
      <c r="D11" s="758"/>
      <c r="E11" s="758"/>
      <c r="F11" s="758"/>
      <c r="G11" s="758"/>
      <c r="H11" s="758"/>
      <c r="I11" s="758"/>
      <c r="J11" s="758"/>
      <c r="K11" s="758"/>
      <c r="L11" s="758"/>
      <c r="M11" s="758"/>
      <c r="N11" s="160"/>
      <c r="O11" s="207" t="s">
        <v>147</v>
      </c>
      <c r="P11" s="208"/>
      <c r="Q11" s="208"/>
      <c r="R11" s="160"/>
      <c r="S11" s="207" t="s">
        <v>148</v>
      </c>
      <c r="T11" s="208"/>
      <c r="U11" s="208"/>
      <c r="V11" s="160"/>
      <c r="W11" s="207" t="s">
        <v>149</v>
      </c>
      <c r="X11" s="208"/>
      <c r="Y11" s="208"/>
    </row>
    <row r="12" spans="1:30" ht="25.5">
      <c r="A12" s="209" t="s">
        <v>150</v>
      </c>
      <c r="B12" s="209" t="s">
        <v>151</v>
      </c>
      <c r="C12" s="209" t="s">
        <v>152</v>
      </c>
      <c r="D12" s="209" t="s">
        <v>153</v>
      </c>
      <c r="E12" s="209" t="s">
        <v>154</v>
      </c>
      <c r="F12" s="209" t="s">
        <v>155</v>
      </c>
      <c r="G12" s="209" t="s">
        <v>156</v>
      </c>
      <c r="H12" s="209" t="s">
        <v>157</v>
      </c>
      <c r="I12" s="209" t="s">
        <v>158</v>
      </c>
      <c r="J12" s="209" t="s">
        <v>159</v>
      </c>
      <c r="K12" s="209" t="s">
        <v>160</v>
      </c>
      <c r="L12" s="210" t="s">
        <v>161</v>
      </c>
      <c r="M12" s="209" t="s">
        <v>162</v>
      </c>
      <c r="N12" s="160"/>
      <c r="O12" s="208">
        <v>1</v>
      </c>
      <c r="P12" s="208">
        <v>2</v>
      </c>
      <c r="Q12" s="208">
        <v>3</v>
      </c>
      <c r="R12" s="160"/>
      <c r="S12" s="208">
        <v>1</v>
      </c>
      <c r="T12" s="208">
        <v>2</v>
      </c>
      <c r="U12" s="208">
        <v>3</v>
      </c>
      <c r="V12" s="160"/>
      <c r="W12" s="208">
        <v>1</v>
      </c>
      <c r="X12" s="208">
        <v>2</v>
      </c>
      <c r="Y12" s="208">
        <v>3</v>
      </c>
    </row>
    <row r="13" spans="1:30">
      <c r="A13" s="209">
        <v>1</v>
      </c>
      <c r="B13" s="211"/>
      <c r="C13" s="211"/>
      <c r="D13" s="211"/>
      <c r="E13" s="211"/>
      <c r="F13" s="211"/>
      <c r="G13" s="211"/>
      <c r="H13" s="211"/>
      <c r="I13" s="211"/>
      <c r="J13" s="211"/>
      <c r="K13" s="211" t="str">
        <f>IF(L13&lt;&gt;"",IF(OR(L13&lt;$H$9,L13&gt;$E$9),0,1),"")</f>
        <v/>
      </c>
      <c r="L13" s="211"/>
      <c r="M13" s="211" t="str">
        <f>IF(B13&lt;&gt;"",IF(SUM(B13:J13)=9,"+",IF(SUM(B13:J13)=0,"-","x")),"")</f>
        <v/>
      </c>
      <c r="N13" s="212"/>
      <c r="O13" s="213" t="str">
        <f>IF(B13&lt;&gt;"",IF(AND(B13=0,E13=0),"a",IF(AND(B13=1,E13=0),"b",IF(AND(B13=0,E13=1),"c","d"))),"")</f>
        <v/>
      </c>
      <c r="P13" s="213" t="str">
        <f>IF(C13&lt;&gt;"",IF(AND(C13=0,F13=0),"a",IF(AND(C13=1,F13=0),"b",IF(AND(C13=0,F13=1),"c","d"))),"")</f>
        <v/>
      </c>
      <c r="Q13" s="213" t="str">
        <f>IF(D13&lt;&gt;"",IF(AND(D13=0,G13=0),"a",IF(AND(D13=1,G13=0),"b",IF(AND(D13=0,G13=1),"c","d"))),"")</f>
        <v/>
      </c>
      <c r="R13" s="212"/>
      <c r="S13" s="213" t="str">
        <f>IF(E13&lt;&gt;"",IF(AND(E13=0,H13=0),"a",IF(AND(E13=1,H13=0),"b",IF(AND(E13=0,H13=1),"c","d"))),"")</f>
        <v/>
      </c>
      <c r="T13" s="213" t="str">
        <f>IF(F13&lt;&gt;"",IF(AND(F13=0,I13=0),"a",IF(AND(F13=1,I13=0),"b",IF(AND(F13=0,I13=1),"c","d"))),"")</f>
        <v/>
      </c>
      <c r="U13" s="213" t="str">
        <f>IF(G13&lt;&gt;"",IF(AND(G13=0,J13=0),"a",IF(AND(G13=1,J13=0),"b",IF(AND(G13=0,J13=1),"c","d"))),"")</f>
        <v/>
      </c>
      <c r="V13" s="212"/>
      <c r="W13" s="213" t="str">
        <f>IF(B13&lt;&gt;"",IF(AND(B13=0,H13=0),"a",IF(AND(B13=1,H13=0),"b",IF(AND(B13=0,H13=1),"c","d"))),"")</f>
        <v/>
      </c>
      <c r="X13" s="213" t="str">
        <f>IF(C13&lt;&gt;"",IF(AND(C13=0,I13=0),"a",IF(AND(C13=1,I13=0),"b",IF(AND(C13=0,I13=1),"c","d"))),"")</f>
        <v/>
      </c>
      <c r="Y13" s="213" t="str">
        <f>IF(D13&lt;&gt;"",IF(AND(D13=0,J13=0),"a",IF(AND(D13=1,J13=0),"b",IF(AND(D13=0,J13=1),"c","d"))),"")</f>
        <v/>
      </c>
      <c r="Z13" s="212"/>
      <c r="AA13" s="212"/>
      <c r="AB13" s="212"/>
      <c r="AC13" s="212"/>
      <c r="AD13" s="212"/>
    </row>
    <row r="14" spans="1:30">
      <c r="A14" s="209">
        <f>A13+1</f>
        <v>2</v>
      </c>
      <c r="B14" s="211"/>
      <c r="C14" s="211"/>
      <c r="D14" s="211"/>
      <c r="E14" s="211"/>
      <c r="F14" s="211"/>
      <c r="G14" s="211"/>
      <c r="H14" s="211"/>
      <c r="I14" s="211"/>
      <c r="J14" s="211"/>
      <c r="K14" s="211" t="str">
        <f t="shared" ref="K14:K52" si="0">IF(L14&lt;&gt;"",IF(OR(L14&lt;$H$9,L14&gt;$E$9),0,1),"")</f>
        <v/>
      </c>
      <c r="L14" s="211"/>
      <c r="M14" s="211" t="str">
        <f t="shared" ref="M14:M52" si="1">IF(B14&lt;&gt;"",IF(SUM(B14:J14)=9,"+",IF(SUM(B14:J14)=0,"-","x")),"")</f>
        <v/>
      </c>
      <c r="N14" s="212"/>
      <c r="O14" s="213" t="str">
        <f t="shared" ref="O14:Q52" si="2">IF(B14&lt;&gt;"",IF(AND(B14=0,E14=0),"a",IF(AND(B14=1,E14=0),"b",IF(AND(B14=0,E14=1),"c","d"))),"")</f>
        <v/>
      </c>
      <c r="P14" s="213" t="str">
        <f t="shared" si="2"/>
        <v/>
      </c>
      <c r="Q14" s="213" t="str">
        <f t="shared" si="2"/>
        <v/>
      </c>
      <c r="R14" s="212"/>
      <c r="S14" s="213" t="str">
        <f t="shared" ref="S14:U52" si="3">IF(E14&lt;&gt;"",IF(AND(E14=0,H14=0),"a",IF(AND(E14=1,H14=0),"b",IF(AND(E14=0,H14=1),"c","d"))),"")</f>
        <v/>
      </c>
      <c r="T14" s="213" t="str">
        <f t="shared" si="3"/>
        <v/>
      </c>
      <c r="U14" s="213" t="str">
        <f t="shared" si="3"/>
        <v/>
      </c>
      <c r="V14" s="212"/>
      <c r="W14" s="213" t="str">
        <f t="shared" ref="W14:Y52" si="4">IF(B14&lt;&gt;"",IF(AND(B14=0,H14=0),"a",IF(AND(B14=1,H14=0),"b",IF(AND(B14=0,H14=1),"c","d"))),"")</f>
        <v/>
      </c>
      <c r="X14" s="213" t="str">
        <f t="shared" si="4"/>
        <v/>
      </c>
      <c r="Y14" s="213" t="str">
        <f t="shared" si="4"/>
        <v/>
      </c>
      <c r="Z14" s="212"/>
      <c r="AA14" s="212"/>
      <c r="AB14" s="212"/>
      <c r="AC14" s="212"/>
      <c r="AD14" s="212"/>
    </row>
    <row r="15" spans="1:30">
      <c r="A15" s="209">
        <f t="shared" ref="A15:A66" si="5">A14+1</f>
        <v>3</v>
      </c>
      <c r="B15" s="211"/>
      <c r="C15" s="211"/>
      <c r="D15" s="211"/>
      <c r="E15" s="211"/>
      <c r="F15" s="211"/>
      <c r="G15" s="211"/>
      <c r="H15" s="211"/>
      <c r="I15" s="211"/>
      <c r="J15" s="211"/>
      <c r="K15" s="211" t="str">
        <f t="shared" si="0"/>
        <v/>
      </c>
      <c r="L15" s="211"/>
      <c r="M15" s="211" t="str">
        <f t="shared" si="1"/>
        <v/>
      </c>
      <c r="N15" s="212"/>
      <c r="O15" s="213" t="str">
        <f t="shared" si="2"/>
        <v/>
      </c>
      <c r="P15" s="213" t="str">
        <f t="shared" si="2"/>
        <v/>
      </c>
      <c r="Q15" s="213" t="str">
        <f t="shared" si="2"/>
        <v/>
      </c>
      <c r="R15" s="212"/>
      <c r="S15" s="213" t="str">
        <f t="shared" si="3"/>
        <v/>
      </c>
      <c r="T15" s="213" t="str">
        <f t="shared" si="3"/>
        <v/>
      </c>
      <c r="U15" s="213" t="str">
        <f t="shared" si="3"/>
        <v/>
      </c>
      <c r="V15" s="212"/>
      <c r="W15" s="213" t="str">
        <f t="shared" si="4"/>
        <v/>
      </c>
      <c r="X15" s="213" t="str">
        <f t="shared" si="4"/>
        <v/>
      </c>
      <c r="Y15" s="213" t="str">
        <f t="shared" si="4"/>
        <v/>
      </c>
      <c r="Z15" s="212"/>
      <c r="AA15" s="212"/>
      <c r="AB15" s="212"/>
      <c r="AC15" s="212"/>
      <c r="AD15" s="212"/>
    </row>
    <row r="16" spans="1:30">
      <c r="A16" s="209">
        <f t="shared" si="5"/>
        <v>4</v>
      </c>
      <c r="B16" s="211"/>
      <c r="C16" s="211"/>
      <c r="D16" s="211"/>
      <c r="E16" s="211"/>
      <c r="F16" s="211"/>
      <c r="G16" s="211"/>
      <c r="H16" s="211"/>
      <c r="I16" s="211"/>
      <c r="J16" s="211"/>
      <c r="K16" s="211" t="str">
        <f t="shared" si="0"/>
        <v/>
      </c>
      <c r="L16" s="211"/>
      <c r="M16" s="211" t="str">
        <f t="shared" si="1"/>
        <v/>
      </c>
      <c r="N16" s="212"/>
      <c r="O16" s="213" t="str">
        <f t="shared" si="2"/>
        <v/>
      </c>
      <c r="P16" s="213" t="str">
        <f t="shared" si="2"/>
        <v/>
      </c>
      <c r="Q16" s="213" t="str">
        <f t="shared" si="2"/>
        <v/>
      </c>
      <c r="R16" s="212"/>
      <c r="S16" s="213" t="str">
        <f t="shared" si="3"/>
        <v/>
      </c>
      <c r="T16" s="213" t="str">
        <f t="shared" si="3"/>
        <v/>
      </c>
      <c r="U16" s="213" t="str">
        <f t="shared" si="3"/>
        <v/>
      </c>
      <c r="V16" s="212"/>
      <c r="W16" s="213" t="str">
        <f t="shared" si="4"/>
        <v/>
      </c>
      <c r="X16" s="213" t="str">
        <f t="shared" si="4"/>
        <v/>
      </c>
      <c r="Y16" s="213" t="str">
        <f t="shared" si="4"/>
        <v/>
      </c>
      <c r="Z16" s="212"/>
      <c r="AA16" s="212"/>
      <c r="AB16" s="212"/>
      <c r="AC16" s="212"/>
      <c r="AD16" s="212"/>
    </row>
    <row r="17" spans="1:30">
      <c r="A17" s="209">
        <f t="shared" si="5"/>
        <v>5</v>
      </c>
      <c r="B17" s="211"/>
      <c r="C17" s="211"/>
      <c r="D17" s="211"/>
      <c r="E17" s="211"/>
      <c r="F17" s="211"/>
      <c r="G17" s="211"/>
      <c r="H17" s="211"/>
      <c r="I17" s="211"/>
      <c r="J17" s="211"/>
      <c r="K17" s="211" t="str">
        <f t="shared" si="0"/>
        <v/>
      </c>
      <c r="L17" s="211"/>
      <c r="M17" s="211" t="str">
        <f t="shared" si="1"/>
        <v/>
      </c>
      <c r="N17" s="212"/>
      <c r="O17" s="213" t="str">
        <f t="shared" si="2"/>
        <v/>
      </c>
      <c r="P17" s="213" t="str">
        <f t="shared" si="2"/>
        <v/>
      </c>
      <c r="Q17" s="213" t="str">
        <f t="shared" si="2"/>
        <v/>
      </c>
      <c r="R17" s="212"/>
      <c r="S17" s="213" t="str">
        <f t="shared" si="3"/>
        <v/>
      </c>
      <c r="T17" s="213" t="str">
        <f t="shared" si="3"/>
        <v/>
      </c>
      <c r="U17" s="213" t="str">
        <f t="shared" si="3"/>
        <v/>
      </c>
      <c r="V17" s="212"/>
      <c r="W17" s="213" t="str">
        <f t="shared" si="4"/>
        <v/>
      </c>
      <c r="X17" s="213" t="str">
        <f t="shared" si="4"/>
        <v/>
      </c>
      <c r="Y17" s="213" t="str">
        <f t="shared" si="4"/>
        <v/>
      </c>
      <c r="Z17" s="212"/>
      <c r="AA17" s="212"/>
      <c r="AB17" s="212"/>
      <c r="AC17" s="212"/>
      <c r="AD17" s="212"/>
    </row>
    <row r="18" spans="1:30">
      <c r="A18" s="209">
        <f t="shared" si="5"/>
        <v>6</v>
      </c>
      <c r="B18" s="211"/>
      <c r="C18" s="211"/>
      <c r="D18" s="211"/>
      <c r="E18" s="211"/>
      <c r="F18" s="211"/>
      <c r="G18" s="211"/>
      <c r="H18" s="211"/>
      <c r="I18" s="211"/>
      <c r="J18" s="211"/>
      <c r="K18" s="211" t="str">
        <f t="shared" si="0"/>
        <v/>
      </c>
      <c r="L18" s="211"/>
      <c r="M18" s="211" t="str">
        <f t="shared" si="1"/>
        <v/>
      </c>
      <c r="N18" s="212"/>
      <c r="O18" s="213" t="str">
        <f t="shared" si="2"/>
        <v/>
      </c>
      <c r="P18" s="213" t="str">
        <f t="shared" si="2"/>
        <v/>
      </c>
      <c r="Q18" s="213" t="str">
        <f t="shared" si="2"/>
        <v/>
      </c>
      <c r="R18" s="212"/>
      <c r="S18" s="213" t="str">
        <f t="shared" si="3"/>
        <v/>
      </c>
      <c r="T18" s="213" t="str">
        <f t="shared" si="3"/>
        <v/>
      </c>
      <c r="U18" s="213" t="str">
        <f t="shared" si="3"/>
        <v/>
      </c>
      <c r="V18" s="212"/>
      <c r="W18" s="213" t="str">
        <f t="shared" si="4"/>
        <v/>
      </c>
      <c r="X18" s="213" t="str">
        <f t="shared" si="4"/>
        <v/>
      </c>
      <c r="Y18" s="213" t="str">
        <f t="shared" si="4"/>
        <v/>
      </c>
      <c r="Z18" s="212"/>
      <c r="AA18" s="212"/>
      <c r="AB18" s="212"/>
      <c r="AC18" s="212"/>
      <c r="AD18" s="212"/>
    </row>
    <row r="19" spans="1:30">
      <c r="A19" s="209">
        <f t="shared" si="5"/>
        <v>7</v>
      </c>
      <c r="B19" s="211"/>
      <c r="C19" s="211"/>
      <c r="D19" s="211"/>
      <c r="E19" s="211"/>
      <c r="F19" s="211"/>
      <c r="G19" s="211"/>
      <c r="H19" s="211"/>
      <c r="I19" s="211"/>
      <c r="J19" s="211"/>
      <c r="K19" s="211" t="str">
        <f t="shared" si="0"/>
        <v/>
      </c>
      <c r="L19" s="211"/>
      <c r="M19" s="211" t="str">
        <f t="shared" si="1"/>
        <v/>
      </c>
      <c r="N19" s="212"/>
      <c r="O19" s="213" t="str">
        <f t="shared" si="2"/>
        <v/>
      </c>
      <c r="P19" s="213" t="str">
        <f t="shared" si="2"/>
        <v/>
      </c>
      <c r="Q19" s="213" t="str">
        <f t="shared" si="2"/>
        <v/>
      </c>
      <c r="R19" s="212"/>
      <c r="S19" s="213" t="str">
        <f t="shared" si="3"/>
        <v/>
      </c>
      <c r="T19" s="213" t="str">
        <f t="shared" si="3"/>
        <v/>
      </c>
      <c r="U19" s="213" t="str">
        <f t="shared" si="3"/>
        <v/>
      </c>
      <c r="V19" s="212"/>
      <c r="W19" s="213" t="str">
        <f t="shared" si="4"/>
        <v/>
      </c>
      <c r="X19" s="213" t="str">
        <f t="shared" si="4"/>
        <v/>
      </c>
      <c r="Y19" s="213" t="str">
        <f t="shared" si="4"/>
        <v/>
      </c>
      <c r="Z19" s="212"/>
      <c r="AA19" s="212"/>
      <c r="AB19" s="212"/>
      <c r="AC19" s="212"/>
      <c r="AD19" s="212"/>
    </row>
    <row r="20" spans="1:30">
      <c r="A20" s="209">
        <f t="shared" si="5"/>
        <v>8</v>
      </c>
      <c r="B20" s="211"/>
      <c r="C20" s="211"/>
      <c r="D20" s="211"/>
      <c r="E20" s="211"/>
      <c r="F20" s="211"/>
      <c r="G20" s="211"/>
      <c r="H20" s="211"/>
      <c r="I20" s="211"/>
      <c r="J20" s="211"/>
      <c r="K20" s="211" t="str">
        <f t="shared" si="0"/>
        <v/>
      </c>
      <c r="L20" s="211"/>
      <c r="M20" s="211" t="str">
        <f t="shared" si="1"/>
        <v/>
      </c>
      <c r="N20" s="212"/>
      <c r="O20" s="213" t="str">
        <f t="shared" si="2"/>
        <v/>
      </c>
      <c r="P20" s="213" t="str">
        <f t="shared" si="2"/>
        <v/>
      </c>
      <c r="Q20" s="213" t="str">
        <f t="shared" si="2"/>
        <v/>
      </c>
      <c r="R20" s="212"/>
      <c r="S20" s="213" t="str">
        <f t="shared" si="3"/>
        <v/>
      </c>
      <c r="T20" s="213" t="str">
        <f t="shared" si="3"/>
        <v/>
      </c>
      <c r="U20" s="213" t="str">
        <f t="shared" si="3"/>
        <v/>
      </c>
      <c r="V20" s="212"/>
      <c r="W20" s="213" t="str">
        <f t="shared" si="4"/>
        <v/>
      </c>
      <c r="X20" s="213" t="str">
        <f t="shared" si="4"/>
        <v/>
      </c>
      <c r="Y20" s="213" t="str">
        <f t="shared" si="4"/>
        <v/>
      </c>
      <c r="Z20" s="212"/>
      <c r="AA20" s="212"/>
      <c r="AB20" s="212"/>
      <c r="AC20" s="212"/>
      <c r="AD20" s="212"/>
    </row>
    <row r="21" spans="1:30">
      <c r="A21" s="209">
        <f t="shared" si="5"/>
        <v>9</v>
      </c>
      <c r="B21" s="211"/>
      <c r="C21" s="211"/>
      <c r="D21" s="211"/>
      <c r="E21" s="211"/>
      <c r="F21" s="211"/>
      <c r="G21" s="211"/>
      <c r="H21" s="211"/>
      <c r="I21" s="211"/>
      <c r="J21" s="211"/>
      <c r="K21" s="211" t="str">
        <f t="shared" si="0"/>
        <v/>
      </c>
      <c r="L21" s="211"/>
      <c r="M21" s="211" t="str">
        <f t="shared" si="1"/>
        <v/>
      </c>
      <c r="N21" s="212"/>
      <c r="O21" s="213" t="str">
        <f t="shared" si="2"/>
        <v/>
      </c>
      <c r="P21" s="213" t="str">
        <f t="shared" si="2"/>
        <v/>
      </c>
      <c r="Q21" s="213" t="str">
        <f t="shared" si="2"/>
        <v/>
      </c>
      <c r="R21" s="212"/>
      <c r="S21" s="213" t="str">
        <f t="shared" si="3"/>
        <v/>
      </c>
      <c r="T21" s="213" t="str">
        <f t="shared" si="3"/>
        <v/>
      </c>
      <c r="U21" s="213" t="str">
        <f t="shared" si="3"/>
        <v/>
      </c>
      <c r="V21" s="212"/>
      <c r="W21" s="213" t="str">
        <f t="shared" si="4"/>
        <v/>
      </c>
      <c r="X21" s="213" t="str">
        <f t="shared" si="4"/>
        <v/>
      </c>
      <c r="Y21" s="213" t="str">
        <f t="shared" si="4"/>
        <v/>
      </c>
      <c r="Z21" s="212"/>
      <c r="AA21" s="212"/>
      <c r="AB21" s="212"/>
      <c r="AC21" s="212"/>
      <c r="AD21" s="212"/>
    </row>
    <row r="22" spans="1:30">
      <c r="A22" s="209">
        <f t="shared" si="5"/>
        <v>10</v>
      </c>
      <c r="B22" s="211"/>
      <c r="C22" s="211"/>
      <c r="D22" s="211"/>
      <c r="E22" s="211"/>
      <c r="F22" s="211"/>
      <c r="G22" s="211"/>
      <c r="H22" s="211"/>
      <c r="I22" s="211"/>
      <c r="J22" s="211"/>
      <c r="K22" s="211" t="str">
        <f t="shared" si="0"/>
        <v/>
      </c>
      <c r="L22" s="211"/>
      <c r="M22" s="211" t="str">
        <f t="shared" si="1"/>
        <v/>
      </c>
      <c r="N22" s="212"/>
      <c r="O22" s="213" t="str">
        <f t="shared" si="2"/>
        <v/>
      </c>
      <c r="P22" s="213" t="str">
        <f t="shared" si="2"/>
        <v/>
      </c>
      <c r="Q22" s="213" t="str">
        <f t="shared" si="2"/>
        <v/>
      </c>
      <c r="R22" s="212"/>
      <c r="S22" s="213" t="str">
        <f t="shared" si="3"/>
        <v/>
      </c>
      <c r="T22" s="213" t="str">
        <f t="shared" si="3"/>
        <v/>
      </c>
      <c r="U22" s="213" t="str">
        <f t="shared" si="3"/>
        <v/>
      </c>
      <c r="V22" s="212"/>
      <c r="W22" s="213" t="str">
        <f t="shared" si="4"/>
        <v/>
      </c>
      <c r="X22" s="213" t="str">
        <f t="shared" si="4"/>
        <v/>
      </c>
      <c r="Y22" s="213" t="str">
        <f t="shared" si="4"/>
        <v/>
      </c>
      <c r="Z22" s="212"/>
      <c r="AA22" s="212"/>
      <c r="AB22" s="212"/>
      <c r="AC22" s="212"/>
      <c r="AD22" s="212"/>
    </row>
    <row r="23" spans="1:30">
      <c r="A23" s="209">
        <f t="shared" si="5"/>
        <v>11</v>
      </c>
      <c r="B23" s="211"/>
      <c r="C23" s="211"/>
      <c r="D23" s="211"/>
      <c r="E23" s="211"/>
      <c r="F23" s="211"/>
      <c r="G23" s="211"/>
      <c r="H23" s="211"/>
      <c r="I23" s="211"/>
      <c r="J23" s="211"/>
      <c r="K23" s="211" t="str">
        <f t="shared" si="0"/>
        <v/>
      </c>
      <c r="L23" s="211"/>
      <c r="M23" s="211" t="str">
        <f t="shared" si="1"/>
        <v/>
      </c>
      <c r="N23" s="212"/>
      <c r="O23" s="213" t="str">
        <f t="shared" si="2"/>
        <v/>
      </c>
      <c r="P23" s="213" t="str">
        <f t="shared" si="2"/>
        <v/>
      </c>
      <c r="Q23" s="213" t="str">
        <f t="shared" si="2"/>
        <v/>
      </c>
      <c r="R23" s="212"/>
      <c r="S23" s="213" t="str">
        <f t="shared" si="3"/>
        <v/>
      </c>
      <c r="T23" s="213" t="str">
        <f t="shared" si="3"/>
        <v/>
      </c>
      <c r="U23" s="213" t="str">
        <f t="shared" si="3"/>
        <v/>
      </c>
      <c r="V23" s="212"/>
      <c r="W23" s="213" t="str">
        <f t="shared" si="4"/>
        <v/>
      </c>
      <c r="X23" s="213" t="str">
        <f t="shared" si="4"/>
        <v/>
      </c>
      <c r="Y23" s="213" t="str">
        <f t="shared" si="4"/>
        <v/>
      </c>
      <c r="Z23" s="212"/>
      <c r="AA23" s="212"/>
      <c r="AB23" s="212"/>
      <c r="AC23" s="212"/>
      <c r="AD23" s="212"/>
    </row>
    <row r="24" spans="1:30">
      <c r="A24" s="209">
        <f t="shared" si="5"/>
        <v>12</v>
      </c>
      <c r="B24" s="211"/>
      <c r="C24" s="211"/>
      <c r="D24" s="211"/>
      <c r="E24" s="211"/>
      <c r="F24" s="211"/>
      <c r="G24" s="211"/>
      <c r="H24" s="211"/>
      <c r="I24" s="211"/>
      <c r="J24" s="211"/>
      <c r="K24" s="211" t="str">
        <f t="shared" si="0"/>
        <v/>
      </c>
      <c r="L24" s="211"/>
      <c r="M24" s="211" t="str">
        <f t="shared" si="1"/>
        <v/>
      </c>
      <c r="N24" s="212"/>
      <c r="O24" s="213" t="str">
        <f t="shared" si="2"/>
        <v/>
      </c>
      <c r="P24" s="213" t="str">
        <f t="shared" si="2"/>
        <v/>
      </c>
      <c r="Q24" s="213" t="str">
        <f t="shared" si="2"/>
        <v/>
      </c>
      <c r="R24" s="212"/>
      <c r="S24" s="213" t="str">
        <f t="shared" si="3"/>
        <v/>
      </c>
      <c r="T24" s="213" t="str">
        <f t="shared" si="3"/>
        <v/>
      </c>
      <c r="U24" s="213" t="str">
        <f t="shared" si="3"/>
        <v/>
      </c>
      <c r="V24" s="212"/>
      <c r="W24" s="213" t="str">
        <f t="shared" si="4"/>
        <v/>
      </c>
      <c r="X24" s="213" t="str">
        <f t="shared" si="4"/>
        <v/>
      </c>
      <c r="Y24" s="213" t="str">
        <f t="shared" si="4"/>
        <v/>
      </c>
      <c r="Z24" s="212"/>
      <c r="AA24" s="212"/>
      <c r="AB24" s="212"/>
      <c r="AC24" s="212"/>
      <c r="AD24" s="212"/>
    </row>
    <row r="25" spans="1:30">
      <c r="A25" s="209">
        <f t="shared" si="5"/>
        <v>13</v>
      </c>
      <c r="B25" s="211"/>
      <c r="C25" s="211"/>
      <c r="D25" s="211"/>
      <c r="E25" s="211"/>
      <c r="F25" s="211"/>
      <c r="G25" s="211"/>
      <c r="H25" s="211"/>
      <c r="I25" s="211"/>
      <c r="J25" s="211"/>
      <c r="K25" s="211" t="str">
        <f t="shared" si="0"/>
        <v/>
      </c>
      <c r="L25" s="211"/>
      <c r="M25" s="211" t="str">
        <f t="shared" si="1"/>
        <v/>
      </c>
      <c r="N25" s="212"/>
      <c r="O25" s="213" t="str">
        <f t="shared" si="2"/>
        <v/>
      </c>
      <c r="P25" s="213" t="str">
        <f t="shared" si="2"/>
        <v/>
      </c>
      <c r="Q25" s="213" t="str">
        <f t="shared" si="2"/>
        <v/>
      </c>
      <c r="R25" s="212"/>
      <c r="S25" s="213" t="str">
        <f t="shared" si="3"/>
        <v/>
      </c>
      <c r="T25" s="213" t="str">
        <f t="shared" si="3"/>
        <v/>
      </c>
      <c r="U25" s="213" t="str">
        <f t="shared" si="3"/>
        <v/>
      </c>
      <c r="V25" s="212"/>
      <c r="W25" s="213" t="str">
        <f t="shared" si="4"/>
        <v/>
      </c>
      <c r="X25" s="213" t="str">
        <f t="shared" si="4"/>
        <v/>
      </c>
      <c r="Y25" s="213" t="str">
        <f t="shared" si="4"/>
        <v/>
      </c>
      <c r="Z25" s="212"/>
      <c r="AA25" s="212"/>
      <c r="AB25" s="212"/>
      <c r="AC25" s="212"/>
      <c r="AD25" s="212"/>
    </row>
    <row r="26" spans="1:30">
      <c r="A26" s="209">
        <f t="shared" si="5"/>
        <v>14</v>
      </c>
      <c r="B26" s="211"/>
      <c r="C26" s="211"/>
      <c r="D26" s="211"/>
      <c r="E26" s="211"/>
      <c r="F26" s="211"/>
      <c r="G26" s="211"/>
      <c r="H26" s="211"/>
      <c r="I26" s="211"/>
      <c r="J26" s="211"/>
      <c r="K26" s="211" t="str">
        <f t="shared" si="0"/>
        <v/>
      </c>
      <c r="L26" s="211"/>
      <c r="M26" s="211" t="str">
        <f t="shared" si="1"/>
        <v/>
      </c>
      <c r="N26" s="212"/>
      <c r="O26" s="213" t="str">
        <f t="shared" si="2"/>
        <v/>
      </c>
      <c r="P26" s="213" t="str">
        <f t="shared" si="2"/>
        <v/>
      </c>
      <c r="Q26" s="213" t="str">
        <f t="shared" si="2"/>
        <v/>
      </c>
      <c r="R26" s="212"/>
      <c r="S26" s="213" t="str">
        <f t="shared" si="3"/>
        <v/>
      </c>
      <c r="T26" s="213" t="str">
        <f t="shared" si="3"/>
        <v/>
      </c>
      <c r="U26" s="213" t="str">
        <f t="shared" si="3"/>
        <v/>
      </c>
      <c r="V26" s="212"/>
      <c r="W26" s="213" t="str">
        <f t="shared" si="4"/>
        <v/>
      </c>
      <c r="X26" s="213" t="str">
        <f t="shared" si="4"/>
        <v/>
      </c>
      <c r="Y26" s="213" t="str">
        <f t="shared" si="4"/>
        <v/>
      </c>
      <c r="Z26" s="212"/>
      <c r="AA26" s="212"/>
      <c r="AB26" s="212"/>
      <c r="AC26" s="212"/>
      <c r="AD26" s="212"/>
    </row>
    <row r="27" spans="1:30">
      <c r="A27" s="209">
        <f t="shared" si="5"/>
        <v>15</v>
      </c>
      <c r="B27" s="211"/>
      <c r="C27" s="211"/>
      <c r="D27" s="211"/>
      <c r="E27" s="211"/>
      <c r="F27" s="211"/>
      <c r="G27" s="211"/>
      <c r="H27" s="211"/>
      <c r="I27" s="211"/>
      <c r="J27" s="211"/>
      <c r="K27" s="211" t="str">
        <f t="shared" si="0"/>
        <v/>
      </c>
      <c r="L27" s="211"/>
      <c r="M27" s="211" t="str">
        <f t="shared" si="1"/>
        <v/>
      </c>
      <c r="N27" s="212"/>
      <c r="O27" s="213" t="str">
        <f t="shared" si="2"/>
        <v/>
      </c>
      <c r="P27" s="213" t="str">
        <f t="shared" si="2"/>
        <v/>
      </c>
      <c r="Q27" s="213" t="str">
        <f t="shared" si="2"/>
        <v/>
      </c>
      <c r="R27" s="212"/>
      <c r="S27" s="213" t="str">
        <f t="shared" si="3"/>
        <v/>
      </c>
      <c r="T27" s="213" t="str">
        <f t="shared" si="3"/>
        <v/>
      </c>
      <c r="U27" s="213" t="str">
        <f t="shared" si="3"/>
        <v/>
      </c>
      <c r="V27" s="212"/>
      <c r="W27" s="213" t="str">
        <f t="shared" si="4"/>
        <v/>
      </c>
      <c r="X27" s="213" t="str">
        <f t="shared" si="4"/>
        <v/>
      </c>
      <c r="Y27" s="213" t="str">
        <f t="shared" si="4"/>
        <v/>
      </c>
      <c r="Z27" s="212"/>
      <c r="AA27" s="212"/>
      <c r="AB27" s="212"/>
      <c r="AC27" s="212"/>
      <c r="AD27" s="212"/>
    </row>
    <row r="28" spans="1:30">
      <c r="A28" s="209">
        <f t="shared" si="5"/>
        <v>16</v>
      </c>
      <c r="B28" s="211"/>
      <c r="C28" s="211"/>
      <c r="D28" s="211"/>
      <c r="E28" s="211"/>
      <c r="F28" s="211"/>
      <c r="G28" s="211"/>
      <c r="H28" s="211"/>
      <c r="I28" s="211"/>
      <c r="J28" s="211"/>
      <c r="K28" s="211" t="str">
        <f t="shared" si="0"/>
        <v/>
      </c>
      <c r="L28" s="211"/>
      <c r="M28" s="211" t="str">
        <f t="shared" si="1"/>
        <v/>
      </c>
      <c r="N28" s="212"/>
      <c r="O28" s="213" t="str">
        <f t="shared" si="2"/>
        <v/>
      </c>
      <c r="P28" s="213" t="str">
        <f t="shared" si="2"/>
        <v/>
      </c>
      <c r="Q28" s="213" t="str">
        <f t="shared" si="2"/>
        <v/>
      </c>
      <c r="R28" s="212"/>
      <c r="S28" s="213" t="str">
        <f t="shared" si="3"/>
        <v/>
      </c>
      <c r="T28" s="213" t="str">
        <f t="shared" si="3"/>
        <v/>
      </c>
      <c r="U28" s="213" t="str">
        <f t="shared" si="3"/>
        <v/>
      </c>
      <c r="V28" s="212"/>
      <c r="W28" s="213" t="str">
        <f t="shared" si="4"/>
        <v/>
      </c>
      <c r="X28" s="213" t="str">
        <f t="shared" si="4"/>
        <v/>
      </c>
      <c r="Y28" s="213" t="str">
        <f t="shared" si="4"/>
        <v/>
      </c>
      <c r="Z28" s="212"/>
      <c r="AA28" s="212"/>
      <c r="AB28" s="212"/>
      <c r="AC28" s="212"/>
      <c r="AD28" s="212"/>
    </row>
    <row r="29" spans="1:30">
      <c r="A29" s="209">
        <f t="shared" si="5"/>
        <v>17</v>
      </c>
      <c r="B29" s="211"/>
      <c r="C29" s="211"/>
      <c r="D29" s="211"/>
      <c r="E29" s="211"/>
      <c r="F29" s="211"/>
      <c r="G29" s="211"/>
      <c r="H29" s="211"/>
      <c r="I29" s="211"/>
      <c r="J29" s="211"/>
      <c r="K29" s="211" t="str">
        <f t="shared" si="0"/>
        <v/>
      </c>
      <c r="L29" s="211"/>
      <c r="M29" s="211" t="str">
        <f t="shared" si="1"/>
        <v/>
      </c>
      <c r="N29" s="212"/>
      <c r="O29" s="213" t="str">
        <f t="shared" si="2"/>
        <v/>
      </c>
      <c r="P29" s="213" t="str">
        <f t="shared" si="2"/>
        <v/>
      </c>
      <c r="Q29" s="213" t="str">
        <f t="shared" si="2"/>
        <v/>
      </c>
      <c r="R29" s="212"/>
      <c r="S29" s="213" t="str">
        <f t="shared" si="3"/>
        <v/>
      </c>
      <c r="T29" s="213" t="str">
        <f t="shared" si="3"/>
        <v/>
      </c>
      <c r="U29" s="213" t="str">
        <f t="shared" si="3"/>
        <v/>
      </c>
      <c r="V29" s="212"/>
      <c r="W29" s="213" t="str">
        <f t="shared" si="4"/>
        <v/>
      </c>
      <c r="X29" s="213" t="str">
        <f t="shared" si="4"/>
        <v/>
      </c>
      <c r="Y29" s="213" t="str">
        <f t="shared" si="4"/>
        <v/>
      </c>
      <c r="Z29" s="212"/>
      <c r="AA29" s="212"/>
      <c r="AB29" s="212"/>
      <c r="AC29" s="212"/>
      <c r="AD29" s="212"/>
    </row>
    <row r="30" spans="1:30">
      <c r="A30" s="209">
        <f t="shared" si="5"/>
        <v>18</v>
      </c>
      <c r="B30" s="211"/>
      <c r="C30" s="211"/>
      <c r="D30" s="211"/>
      <c r="E30" s="211"/>
      <c r="F30" s="211"/>
      <c r="G30" s="211"/>
      <c r="H30" s="211"/>
      <c r="I30" s="211"/>
      <c r="J30" s="211"/>
      <c r="K30" s="211" t="str">
        <f t="shared" si="0"/>
        <v/>
      </c>
      <c r="L30" s="211"/>
      <c r="M30" s="211" t="str">
        <f t="shared" si="1"/>
        <v/>
      </c>
      <c r="N30" s="212"/>
      <c r="O30" s="213" t="str">
        <f t="shared" si="2"/>
        <v/>
      </c>
      <c r="P30" s="213" t="str">
        <f t="shared" si="2"/>
        <v/>
      </c>
      <c r="Q30" s="213" t="str">
        <f t="shared" si="2"/>
        <v/>
      </c>
      <c r="R30" s="212"/>
      <c r="S30" s="213" t="str">
        <f t="shared" si="3"/>
        <v/>
      </c>
      <c r="T30" s="213" t="str">
        <f t="shared" si="3"/>
        <v/>
      </c>
      <c r="U30" s="213" t="str">
        <f t="shared" si="3"/>
        <v/>
      </c>
      <c r="V30" s="212"/>
      <c r="W30" s="213" t="str">
        <f t="shared" si="4"/>
        <v/>
      </c>
      <c r="X30" s="213" t="str">
        <f t="shared" si="4"/>
        <v/>
      </c>
      <c r="Y30" s="213" t="str">
        <f t="shared" si="4"/>
        <v/>
      </c>
      <c r="Z30" s="212"/>
      <c r="AA30" s="212"/>
      <c r="AB30" s="212"/>
      <c r="AC30" s="212"/>
      <c r="AD30" s="212"/>
    </row>
    <row r="31" spans="1:30">
      <c r="A31" s="209">
        <f t="shared" si="5"/>
        <v>19</v>
      </c>
      <c r="B31" s="211"/>
      <c r="C31" s="211"/>
      <c r="D31" s="211"/>
      <c r="E31" s="211"/>
      <c r="F31" s="211"/>
      <c r="G31" s="211"/>
      <c r="H31" s="211"/>
      <c r="I31" s="211"/>
      <c r="J31" s="211"/>
      <c r="K31" s="211" t="str">
        <f t="shared" si="0"/>
        <v/>
      </c>
      <c r="L31" s="211"/>
      <c r="M31" s="211" t="str">
        <f t="shared" si="1"/>
        <v/>
      </c>
      <c r="N31" s="212"/>
      <c r="O31" s="213" t="str">
        <f t="shared" si="2"/>
        <v/>
      </c>
      <c r="P31" s="213" t="str">
        <f t="shared" si="2"/>
        <v/>
      </c>
      <c r="Q31" s="213" t="str">
        <f t="shared" si="2"/>
        <v/>
      </c>
      <c r="R31" s="212"/>
      <c r="S31" s="213" t="str">
        <f t="shared" si="3"/>
        <v/>
      </c>
      <c r="T31" s="213" t="str">
        <f t="shared" si="3"/>
        <v/>
      </c>
      <c r="U31" s="213" t="str">
        <f t="shared" si="3"/>
        <v/>
      </c>
      <c r="V31" s="212"/>
      <c r="W31" s="213" t="str">
        <f t="shared" si="4"/>
        <v/>
      </c>
      <c r="X31" s="213" t="str">
        <f t="shared" si="4"/>
        <v/>
      </c>
      <c r="Y31" s="213" t="str">
        <f t="shared" si="4"/>
        <v/>
      </c>
      <c r="Z31" s="212"/>
      <c r="AA31" s="212"/>
      <c r="AB31" s="212"/>
      <c r="AC31" s="212"/>
      <c r="AD31" s="212"/>
    </row>
    <row r="32" spans="1:30">
      <c r="A32" s="209">
        <f t="shared" si="5"/>
        <v>20</v>
      </c>
      <c r="B32" s="211"/>
      <c r="C32" s="211"/>
      <c r="D32" s="211"/>
      <c r="E32" s="211"/>
      <c r="F32" s="211"/>
      <c r="G32" s="211"/>
      <c r="H32" s="211"/>
      <c r="I32" s="211"/>
      <c r="J32" s="211"/>
      <c r="K32" s="211" t="str">
        <f t="shared" si="0"/>
        <v/>
      </c>
      <c r="L32" s="211"/>
      <c r="M32" s="211" t="str">
        <f t="shared" si="1"/>
        <v/>
      </c>
      <c r="N32" s="212"/>
      <c r="O32" s="213" t="str">
        <f t="shared" si="2"/>
        <v/>
      </c>
      <c r="P32" s="213" t="str">
        <f t="shared" si="2"/>
        <v/>
      </c>
      <c r="Q32" s="213" t="str">
        <f t="shared" si="2"/>
        <v/>
      </c>
      <c r="R32" s="212"/>
      <c r="S32" s="213" t="str">
        <f t="shared" si="3"/>
        <v/>
      </c>
      <c r="T32" s="213" t="str">
        <f t="shared" si="3"/>
        <v/>
      </c>
      <c r="U32" s="213" t="str">
        <f t="shared" si="3"/>
        <v/>
      </c>
      <c r="V32" s="212"/>
      <c r="W32" s="213" t="str">
        <f t="shared" si="4"/>
        <v/>
      </c>
      <c r="X32" s="213" t="str">
        <f t="shared" si="4"/>
        <v/>
      </c>
      <c r="Y32" s="213" t="str">
        <f t="shared" si="4"/>
        <v/>
      </c>
      <c r="Z32" s="212"/>
      <c r="AA32" s="212"/>
      <c r="AB32" s="212"/>
      <c r="AC32" s="212"/>
      <c r="AD32" s="212"/>
    </row>
    <row r="33" spans="1:30">
      <c r="A33" s="209">
        <f t="shared" si="5"/>
        <v>21</v>
      </c>
      <c r="B33" s="211"/>
      <c r="C33" s="211"/>
      <c r="D33" s="211"/>
      <c r="E33" s="211"/>
      <c r="F33" s="211"/>
      <c r="G33" s="211"/>
      <c r="H33" s="211"/>
      <c r="I33" s="211"/>
      <c r="J33" s="211"/>
      <c r="K33" s="211" t="str">
        <f t="shared" si="0"/>
        <v/>
      </c>
      <c r="L33" s="211"/>
      <c r="M33" s="211" t="str">
        <f t="shared" si="1"/>
        <v/>
      </c>
      <c r="N33" s="212"/>
      <c r="O33" s="213" t="str">
        <f t="shared" si="2"/>
        <v/>
      </c>
      <c r="P33" s="213" t="str">
        <f t="shared" si="2"/>
        <v/>
      </c>
      <c r="Q33" s="213" t="str">
        <f t="shared" si="2"/>
        <v/>
      </c>
      <c r="R33" s="212"/>
      <c r="S33" s="213" t="str">
        <f t="shared" si="3"/>
        <v/>
      </c>
      <c r="T33" s="213" t="str">
        <f t="shared" si="3"/>
        <v/>
      </c>
      <c r="U33" s="213" t="str">
        <f t="shared" si="3"/>
        <v/>
      </c>
      <c r="V33" s="212"/>
      <c r="W33" s="213" t="str">
        <f t="shared" si="4"/>
        <v/>
      </c>
      <c r="X33" s="213" t="str">
        <f t="shared" si="4"/>
        <v/>
      </c>
      <c r="Y33" s="213" t="str">
        <f t="shared" si="4"/>
        <v/>
      </c>
      <c r="Z33" s="212"/>
      <c r="AA33" s="212"/>
      <c r="AB33" s="212"/>
      <c r="AC33" s="212"/>
      <c r="AD33" s="212"/>
    </row>
    <row r="34" spans="1:30">
      <c r="A34" s="209">
        <f t="shared" si="5"/>
        <v>22</v>
      </c>
      <c r="B34" s="211"/>
      <c r="C34" s="211"/>
      <c r="D34" s="211"/>
      <c r="E34" s="211"/>
      <c r="F34" s="211"/>
      <c r="G34" s="211"/>
      <c r="H34" s="211"/>
      <c r="I34" s="211"/>
      <c r="J34" s="211"/>
      <c r="K34" s="211" t="str">
        <f t="shared" si="0"/>
        <v/>
      </c>
      <c r="L34" s="211"/>
      <c r="M34" s="211" t="str">
        <f t="shared" si="1"/>
        <v/>
      </c>
      <c r="N34" s="212"/>
      <c r="O34" s="213" t="str">
        <f t="shared" si="2"/>
        <v/>
      </c>
      <c r="P34" s="213" t="str">
        <f t="shared" si="2"/>
        <v/>
      </c>
      <c r="Q34" s="213" t="str">
        <f t="shared" si="2"/>
        <v/>
      </c>
      <c r="R34" s="212"/>
      <c r="S34" s="213" t="str">
        <f t="shared" si="3"/>
        <v/>
      </c>
      <c r="T34" s="213" t="str">
        <f t="shared" si="3"/>
        <v/>
      </c>
      <c r="U34" s="213" t="str">
        <f t="shared" si="3"/>
        <v/>
      </c>
      <c r="V34" s="212"/>
      <c r="W34" s="213" t="str">
        <f t="shared" si="4"/>
        <v/>
      </c>
      <c r="X34" s="213" t="str">
        <f t="shared" si="4"/>
        <v/>
      </c>
      <c r="Y34" s="213" t="str">
        <f t="shared" si="4"/>
        <v/>
      </c>
      <c r="Z34" s="212"/>
      <c r="AA34" s="212"/>
      <c r="AB34" s="212"/>
      <c r="AC34" s="212"/>
      <c r="AD34" s="212"/>
    </row>
    <row r="35" spans="1:30">
      <c r="A35" s="209">
        <f t="shared" si="5"/>
        <v>23</v>
      </c>
      <c r="B35" s="211"/>
      <c r="C35" s="211"/>
      <c r="D35" s="211"/>
      <c r="E35" s="211"/>
      <c r="F35" s="211"/>
      <c r="G35" s="211"/>
      <c r="H35" s="211"/>
      <c r="I35" s="211"/>
      <c r="J35" s="211"/>
      <c r="K35" s="211" t="str">
        <f t="shared" si="0"/>
        <v/>
      </c>
      <c r="L35" s="211"/>
      <c r="M35" s="211" t="str">
        <f t="shared" si="1"/>
        <v/>
      </c>
      <c r="N35" s="212"/>
      <c r="O35" s="213" t="str">
        <f t="shared" si="2"/>
        <v/>
      </c>
      <c r="P35" s="213" t="str">
        <f t="shared" si="2"/>
        <v/>
      </c>
      <c r="Q35" s="213" t="str">
        <f t="shared" si="2"/>
        <v/>
      </c>
      <c r="R35" s="212"/>
      <c r="S35" s="213" t="str">
        <f t="shared" si="3"/>
        <v/>
      </c>
      <c r="T35" s="213" t="str">
        <f t="shared" si="3"/>
        <v/>
      </c>
      <c r="U35" s="213" t="str">
        <f t="shared" si="3"/>
        <v/>
      </c>
      <c r="V35" s="212"/>
      <c r="W35" s="213" t="str">
        <f t="shared" si="4"/>
        <v/>
      </c>
      <c r="X35" s="213" t="str">
        <f t="shared" si="4"/>
        <v/>
      </c>
      <c r="Y35" s="213" t="str">
        <f t="shared" si="4"/>
        <v/>
      </c>
      <c r="Z35" s="212"/>
      <c r="AA35" s="212"/>
      <c r="AB35" s="212"/>
      <c r="AC35" s="212"/>
      <c r="AD35" s="212"/>
    </row>
    <row r="36" spans="1:30">
      <c r="A36" s="209">
        <f t="shared" si="5"/>
        <v>24</v>
      </c>
      <c r="B36" s="211"/>
      <c r="C36" s="211"/>
      <c r="D36" s="211"/>
      <c r="E36" s="211"/>
      <c r="F36" s="211"/>
      <c r="G36" s="211"/>
      <c r="H36" s="211"/>
      <c r="I36" s="211"/>
      <c r="J36" s="211"/>
      <c r="K36" s="211" t="str">
        <f t="shared" si="0"/>
        <v/>
      </c>
      <c r="L36" s="211"/>
      <c r="M36" s="211" t="str">
        <f t="shared" si="1"/>
        <v/>
      </c>
      <c r="N36" s="212"/>
      <c r="O36" s="213" t="str">
        <f t="shared" si="2"/>
        <v/>
      </c>
      <c r="P36" s="213" t="str">
        <f t="shared" si="2"/>
        <v/>
      </c>
      <c r="Q36" s="213" t="str">
        <f t="shared" si="2"/>
        <v/>
      </c>
      <c r="R36" s="212"/>
      <c r="S36" s="213" t="str">
        <f t="shared" si="3"/>
        <v/>
      </c>
      <c r="T36" s="213" t="str">
        <f t="shared" si="3"/>
        <v/>
      </c>
      <c r="U36" s="213" t="str">
        <f t="shared" si="3"/>
        <v/>
      </c>
      <c r="V36" s="212"/>
      <c r="W36" s="213" t="str">
        <f t="shared" si="4"/>
        <v/>
      </c>
      <c r="X36" s="213" t="str">
        <f t="shared" si="4"/>
        <v/>
      </c>
      <c r="Y36" s="213" t="str">
        <f t="shared" si="4"/>
        <v/>
      </c>
      <c r="Z36" s="212"/>
      <c r="AA36" s="212"/>
      <c r="AB36" s="212"/>
      <c r="AC36" s="212"/>
      <c r="AD36" s="212"/>
    </row>
    <row r="37" spans="1:30">
      <c r="A37" s="209">
        <f t="shared" si="5"/>
        <v>25</v>
      </c>
      <c r="B37" s="211"/>
      <c r="C37" s="211"/>
      <c r="D37" s="211"/>
      <c r="E37" s="211"/>
      <c r="F37" s="211"/>
      <c r="G37" s="211"/>
      <c r="H37" s="211"/>
      <c r="I37" s="211"/>
      <c r="J37" s="211"/>
      <c r="K37" s="211" t="str">
        <f t="shared" si="0"/>
        <v/>
      </c>
      <c r="L37" s="211"/>
      <c r="M37" s="211" t="str">
        <f t="shared" si="1"/>
        <v/>
      </c>
      <c r="N37" s="212"/>
      <c r="O37" s="213" t="str">
        <f t="shared" si="2"/>
        <v/>
      </c>
      <c r="P37" s="213" t="str">
        <f t="shared" si="2"/>
        <v/>
      </c>
      <c r="Q37" s="213" t="str">
        <f t="shared" si="2"/>
        <v/>
      </c>
      <c r="R37" s="212"/>
      <c r="S37" s="213" t="str">
        <f t="shared" si="3"/>
        <v/>
      </c>
      <c r="T37" s="213" t="str">
        <f t="shared" si="3"/>
        <v/>
      </c>
      <c r="U37" s="213" t="str">
        <f t="shared" si="3"/>
        <v/>
      </c>
      <c r="V37" s="212"/>
      <c r="W37" s="213" t="str">
        <f t="shared" si="4"/>
        <v/>
      </c>
      <c r="X37" s="213" t="str">
        <f t="shared" si="4"/>
        <v/>
      </c>
      <c r="Y37" s="213" t="str">
        <f t="shared" si="4"/>
        <v/>
      </c>
      <c r="Z37" s="212"/>
      <c r="AA37" s="212"/>
      <c r="AB37" s="212"/>
      <c r="AC37" s="212"/>
      <c r="AD37" s="212"/>
    </row>
    <row r="38" spans="1:30">
      <c r="A38" s="209">
        <f t="shared" si="5"/>
        <v>26</v>
      </c>
      <c r="B38" s="211"/>
      <c r="C38" s="211"/>
      <c r="D38" s="211"/>
      <c r="E38" s="211"/>
      <c r="F38" s="211"/>
      <c r="G38" s="211"/>
      <c r="H38" s="211"/>
      <c r="I38" s="211"/>
      <c r="J38" s="211"/>
      <c r="K38" s="211" t="str">
        <f t="shared" si="0"/>
        <v/>
      </c>
      <c r="L38" s="211"/>
      <c r="M38" s="211" t="str">
        <f t="shared" si="1"/>
        <v/>
      </c>
      <c r="N38" s="212"/>
      <c r="O38" s="213" t="str">
        <f t="shared" si="2"/>
        <v/>
      </c>
      <c r="P38" s="213" t="str">
        <f t="shared" si="2"/>
        <v/>
      </c>
      <c r="Q38" s="213" t="str">
        <f t="shared" si="2"/>
        <v/>
      </c>
      <c r="R38" s="212"/>
      <c r="S38" s="213" t="str">
        <f t="shared" si="3"/>
        <v/>
      </c>
      <c r="T38" s="213" t="str">
        <f t="shared" si="3"/>
        <v/>
      </c>
      <c r="U38" s="213" t="str">
        <f t="shared" si="3"/>
        <v/>
      </c>
      <c r="V38" s="212"/>
      <c r="W38" s="213" t="str">
        <f t="shared" si="4"/>
        <v/>
      </c>
      <c r="X38" s="213" t="str">
        <f t="shared" si="4"/>
        <v/>
      </c>
      <c r="Y38" s="213" t="str">
        <f t="shared" si="4"/>
        <v/>
      </c>
      <c r="Z38" s="212"/>
      <c r="AA38" s="212"/>
      <c r="AB38" s="212"/>
      <c r="AC38" s="212"/>
      <c r="AD38" s="212"/>
    </row>
    <row r="39" spans="1:30">
      <c r="A39" s="209">
        <f t="shared" si="5"/>
        <v>27</v>
      </c>
      <c r="B39" s="211"/>
      <c r="C39" s="211"/>
      <c r="D39" s="211"/>
      <c r="E39" s="211"/>
      <c r="F39" s="211"/>
      <c r="G39" s="211"/>
      <c r="H39" s="211"/>
      <c r="I39" s="211"/>
      <c r="J39" s="211"/>
      <c r="K39" s="211" t="str">
        <f t="shared" si="0"/>
        <v/>
      </c>
      <c r="L39" s="211"/>
      <c r="M39" s="211" t="str">
        <f t="shared" si="1"/>
        <v/>
      </c>
      <c r="N39" s="212"/>
      <c r="O39" s="213" t="str">
        <f t="shared" si="2"/>
        <v/>
      </c>
      <c r="P39" s="213" t="str">
        <f t="shared" si="2"/>
        <v/>
      </c>
      <c r="Q39" s="213" t="str">
        <f t="shared" si="2"/>
        <v/>
      </c>
      <c r="R39" s="212"/>
      <c r="S39" s="213" t="str">
        <f t="shared" si="3"/>
        <v/>
      </c>
      <c r="T39" s="213" t="str">
        <f t="shared" si="3"/>
        <v/>
      </c>
      <c r="U39" s="213" t="str">
        <f t="shared" si="3"/>
        <v/>
      </c>
      <c r="V39" s="212"/>
      <c r="W39" s="213" t="str">
        <f t="shared" si="4"/>
        <v/>
      </c>
      <c r="X39" s="213" t="str">
        <f t="shared" si="4"/>
        <v/>
      </c>
      <c r="Y39" s="213" t="str">
        <f t="shared" si="4"/>
        <v/>
      </c>
      <c r="Z39" s="212"/>
      <c r="AA39" s="212"/>
      <c r="AB39" s="212"/>
      <c r="AC39" s="212"/>
      <c r="AD39" s="212"/>
    </row>
    <row r="40" spans="1:30">
      <c r="A40" s="209">
        <f t="shared" si="5"/>
        <v>28</v>
      </c>
      <c r="B40" s="211"/>
      <c r="C40" s="211"/>
      <c r="D40" s="211"/>
      <c r="E40" s="211"/>
      <c r="F40" s="211"/>
      <c r="G40" s="211"/>
      <c r="H40" s="211"/>
      <c r="I40" s="211"/>
      <c r="J40" s="211"/>
      <c r="K40" s="211" t="str">
        <f t="shared" si="0"/>
        <v/>
      </c>
      <c r="L40" s="211"/>
      <c r="M40" s="211" t="str">
        <f t="shared" si="1"/>
        <v/>
      </c>
      <c r="N40" s="212"/>
      <c r="O40" s="213" t="str">
        <f t="shared" si="2"/>
        <v/>
      </c>
      <c r="P40" s="213" t="str">
        <f t="shared" si="2"/>
        <v/>
      </c>
      <c r="Q40" s="213" t="str">
        <f t="shared" si="2"/>
        <v/>
      </c>
      <c r="R40" s="212"/>
      <c r="S40" s="213" t="str">
        <f t="shared" si="3"/>
        <v/>
      </c>
      <c r="T40" s="213" t="str">
        <f t="shared" si="3"/>
        <v/>
      </c>
      <c r="U40" s="213" t="str">
        <f t="shared" si="3"/>
        <v/>
      </c>
      <c r="V40" s="212"/>
      <c r="W40" s="213" t="str">
        <f t="shared" si="4"/>
        <v/>
      </c>
      <c r="X40" s="213" t="str">
        <f t="shared" si="4"/>
        <v/>
      </c>
      <c r="Y40" s="213" t="str">
        <f t="shared" si="4"/>
        <v/>
      </c>
      <c r="Z40" s="212"/>
      <c r="AA40" s="212"/>
      <c r="AB40" s="212"/>
      <c r="AC40" s="212"/>
      <c r="AD40" s="212"/>
    </row>
    <row r="41" spans="1:30">
      <c r="A41" s="209">
        <f t="shared" si="5"/>
        <v>29</v>
      </c>
      <c r="B41" s="211"/>
      <c r="C41" s="211"/>
      <c r="D41" s="211"/>
      <c r="E41" s="211"/>
      <c r="F41" s="211"/>
      <c r="G41" s="211"/>
      <c r="H41" s="211"/>
      <c r="I41" s="211"/>
      <c r="J41" s="211"/>
      <c r="K41" s="211" t="str">
        <f t="shared" si="0"/>
        <v/>
      </c>
      <c r="L41" s="211"/>
      <c r="M41" s="211" t="str">
        <f t="shared" si="1"/>
        <v/>
      </c>
      <c r="N41" s="212"/>
      <c r="O41" s="213" t="str">
        <f t="shared" si="2"/>
        <v/>
      </c>
      <c r="P41" s="213" t="str">
        <f t="shared" si="2"/>
        <v/>
      </c>
      <c r="Q41" s="213" t="str">
        <f t="shared" si="2"/>
        <v/>
      </c>
      <c r="R41" s="212"/>
      <c r="S41" s="213" t="str">
        <f t="shared" si="3"/>
        <v/>
      </c>
      <c r="T41" s="213" t="str">
        <f t="shared" si="3"/>
        <v/>
      </c>
      <c r="U41" s="213" t="str">
        <f t="shared" si="3"/>
        <v/>
      </c>
      <c r="V41" s="212"/>
      <c r="W41" s="213" t="str">
        <f t="shared" si="4"/>
        <v/>
      </c>
      <c r="X41" s="213" t="str">
        <f t="shared" si="4"/>
        <v/>
      </c>
      <c r="Y41" s="213" t="str">
        <f t="shared" si="4"/>
        <v/>
      </c>
      <c r="Z41" s="212"/>
      <c r="AA41" s="212"/>
      <c r="AB41" s="212"/>
      <c r="AC41" s="212"/>
      <c r="AD41" s="212"/>
    </row>
    <row r="42" spans="1:30">
      <c r="A42" s="209">
        <f t="shared" si="5"/>
        <v>30</v>
      </c>
      <c r="B42" s="211"/>
      <c r="C42" s="211"/>
      <c r="D42" s="211"/>
      <c r="E42" s="211"/>
      <c r="F42" s="211"/>
      <c r="G42" s="211"/>
      <c r="H42" s="211"/>
      <c r="I42" s="211"/>
      <c r="J42" s="211"/>
      <c r="K42" s="211" t="str">
        <f t="shared" si="0"/>
        <v/>
      </c>
      <c r="L42" s="211"/>
      <c r="M42" s="211" t="str">
        <f t="shared" si="1"/>
        <v/>
      </c>
      <c r="N42" s="212"/>
      <c r="O42" s="213" t="str">
        <f t="shared" si="2"/>
        <v/>
      </c>
      <c r="P42" s="213" t="str">
        <f t="shared" si="2"/>
        <v/>
      </c>
      <c r="Q42" s="213" t="str">
        <f t="shared" si="2"/>
        <v/>
      </c>
      <c r="R42" s="212"/>
      <c r="S42" s="213" t="str">
        <f t="shared" si="3"/>
        <v/>
      </c>
      <c r="T42" s="213" t="str">
        <f t="shared" si="3"/>
        <v/>
      </c>
      <c r="U42" s="213" t="str">
        <f t="shared" si="3"/>
        <v/>
      </c>
      <c r="V42" s="212"/>
      <c r="W42" s="213" t="str">
        <f t="shared" si="4"/>
        <v/>
      </c>
      <c r="X42" s="213" t="str">
        <f t="shared" si="4"/>
        <v/>
      </c>
      <c r="Y42" s="213" t="str">
        <f t="shared" si="4"/>
        <v/>
      </c>
      <c r="Z42" s="212"/>
      <c r="AA42" s="212"/>
      <c r="AB42" s="212"/>
      <c r="AC42" s="212"/>
      <c r="AD42" s="212"/>
    </row>
    <row r="43" spans="1:30">
      <c r="A43" s="209">
        <f t="shared" si="5"/>
        <v>31</v>
      </c>
      <c r="B43" s="211"/>
      <c r="C43" s="211"/>
      <c r="D43" s="211"/>
      <c r="E43" s="211"/>
      <c r="F43" s="211"/>
      <c r="G43" s="211"/>
      <c r="H43" s="211"/>
      <c r="I43" s="211"/>
      <c r="J43" s="211"/>
      <c r="K43" s="211" t="str">
        <f t="shared" si="0"/>
        <v/>
      </c>
      <c r="L43" s="211"/>
      <c r="M43" s="211" t="str">
        <f t="shared" si="1"/>
        <v/>
      </c>
      <c r="N43" s="212"/>
      <c r="O43" s="213" t="str">
        <f t="shared" si="2"/>
        <v/>
      </c>
      <c r="P43" s="213" t="str">
        <f t="shared" si="2"/>
        <v/>
      </c>
      <c r="Q43" s="213" t="str">
        <f t="shared" si="2"/>
        <v/>
      </c>
      <c r="R43" s="212"/>
      <c r="S43" s="213" t="str">
        <f t="shared" si="3"/>
        <v/>
      </c>
      <c r="T43" s="213" t="str">
        <f t="shared" si="3"/>
        <v/>
      </c>
      <c r="U43" s="213" t="str">
        <f t="shared" si="3"/>
        <v/>
      </c>
      <c r="V43" s="212"/>
      <c r="W43" s="213" t="str">
        <f t="shared" si="4"/>
        <v/>
      </c>
      <c r="X43" s="213" t="str">
        <f t="shared" si="4"/>
        <v/>
      </c>
      <c r="Y43" s="213" t="str">
        <f t="shared" si="4"/>
        <v/>
      </c>
      <c r="Z43" s="212"/>
      <c r="AA43" s="212"/>
      <c r="AB43" s="212"/>
      <c r="AC43" s="212"/>
      <c r="AD43" s="212"/>
    </row>
    <row r="44" spans="1:30">
      <c r="A44" s="209">
        <f t="shared" si="5"/>
        <v>32</v>
      </c>
      <c r="B44" s="211"/>
      <c r="C44" s="211"/>
      <c r="D44" s="211"/>
      <c r="E44" s="211"/>
      <c r="F44" s="211"/>
      <c r="G44" s="211"/>
      <c r="H44" s="211"/>
      <c r="I44" s="211"/>
      <c r="J44" s="211"/>
      <c r="K44" s="211" t="str">
        <f t="shared" si="0"/>
        <v/>
      </c>
      <c r="L44" s="211"/>
      <c r="M44" s="211" t="str">
        <f t="shared" si="1"/>
        <v/>
      </c>
      <c r="N44" s="212"/>
      <c r="O44" s="213" t="str">
        <f t="shared" si="2"/>
        <v/>
      </c>
      <c r="P44" s="213" t="str">
        <f t="shared" si="2"/>
        <v/>
      </c>
      <c r="Q44" s="213" t="str">
        <f t="shared" si="2"/>
        <v/>
      </c>
      <c r="R44" s="212"/>
      <c r="S44" s="213" t="str">
        <f t="shared" si="3"/>
        <v/>
      </c>
      <c r="T44" s="213" t="str">
        <f t="shared" si="3"/>
        <v/>
      </c>
      <c r="U44" s="213" t="str">
        <f t="shared" si="3"/>
        <v/>
      </c>
      <c r="V44" s="212"/>
      <c r="W44" s="213" t="str">
        <f t="shared" si="4"/>
        <v/>
      </c>
      <c r="X44" s="213" t="str">
        <f t="shared" si="4"/>
        <v/>
      </c>
      <c r="Y44" s="213" t="str">
        <f t="shared" si="4"/>
        <v/>
      </c>
      <c r="Z44" s="212"/>
      <c r="AA44" s="212"/>
      <c r="AB44" s="212"/>
      <c r="AC44" s="212"/>
      <c r="AD44" s="212"/>
    </row>
    <row r="45" spans="1:30">
      <c r="A45" s="209">
        <f t="shared" si="5"/>
        <v>33</v>
      </c>
      <c r="B45" s="211"/>
      <c r="C45" s="211"/>
      <c r="D45" s="211"/>
      <c r="E45" s="211"/>
      <c r="F45" s="211"/>
      <c r="G45" s="211"/>
      <c r="H45" s="211"/>
      <c r="I45" s="211"/>
      <c r="J45" s="211"/>
      <c r="K45" s="211" t="str">
        <f t="shared" si="0"/>
        <v/>
      </c>
      <c r="L45" s="211"/>
      <c r="M45" s="211" t="str">
        <f t="shared" si="1"/>
        <v/>
      </c>
      <c r="N45" s="212"/>
      <c r="O45" s="213" t="str">
        <f t="shared" si="2"/>
        <v/>
      </c>
      <c r="P45" s="213" t="str">
        <f t="shared" si="2"/>
        <v/>
      </c>
      <c r="Q45" s="213" t="str">
        <f t="shared" si="2"/>
        <v/>
      </c>
      <c r="R45" s="212"/>
      <c r="S45" s="213" t="str">
        <f t="shared" si="3"/>
        <v/>
      </c>
      <c r="T45" s="213" t="str">
        <f t="shared" si="3"/>
        <v/>
      </c>
      <c r="U45" s="213" t="str">
        <f t="shared" si="3"/>
        <v/>
      </c>
      <c r="V45" s="212"/>
      <c r="W45" s="213" t="str">
        <f t="shared" si="4"/>
        <v/>
      </c>
      <c r="X45" s="213" t="str">
        <f t="shared" si="4"/>
        <v/>
      </c>
      <c r="Y45" s="213" t="str">
        <f t="shared" si="4"/>
        <v/>
      </c>
      <c r="Z45" s="212"/>
      <c r="AA45" s="212"/>
      <c r="AB45" s="212"/>
      <c r="AC45" s="212"/>
      <c r="AD45" s="212"/>
    </row>
    <row r="46" spans="1:30">
      <c r="A46" s="209">
        <f t="shared" si="5"/>
        <v>34</v>
      </c>
      <c r="B46" s="211"/>
      <c r="C46" s="211"/>
      <c r="D46" s="211"/>
      <c r="E46" s="211"/>
      <c r="F46" s="211"/>
      <c r="G46" s="211"/>
      <c r="H46" s="211"/>
      <c r="I46" s="211"/>
      <c r="J46" s="211"/>
      <c r="K46" s="211" t="str">
        <f t="shared" si="0"/>
        <v/>
      </c>
      <c r="L46" s="211"/>
      <c r="M46" s="211" t="str">
        <f t="shared" si="1"/>
        <v/>
      </c>
      <c r="N46" s="212"/>
      <c r="O46" s="213" t="str">
        <f t="shared" si="2"/>
        <v/>
      </c>
      <c r="P46" s="213" t="str">
        <f t="shared" si="2"/>
        <v/>
      </c>
      <c r="Q46" s="213" t="str">
        <f t="shared" si="2"/>
        <v/>
      </c>
      <c r="R46" s="212"/>
      <c r="S46" s="213" t="str">
        <f t="shared" si="3"/>
        <v/>
      </c>
      <c r="T46" s="213" t="str">
        <f t="shared" si="3"/>
        <v/>
      </c>
      <c r="U46" s="213" t="str">
        <f t="shared" si="3"/>
        <v/>
      </c>
      <c r="V46" s="212"/>
      <c r="W46" s="213" t="str">
        <f t="shared" si="4"/>
        <v/>
      </c>
      <c r="X46" s="213" t="str">
        <f t="shared" si="4"/>
        <v/>
      </c>
      <c r="Y46" s="213" t="str">
        <f t="shared" si="4"/>
        <v/>
      </c>
      <c r="Z46" s="212"/>
      <c r="AA46" s="212"/>
      <c r="AB46" s="212"/>
      <c r="AC46" s="212"/>
      <c r="AD46" s="212"/>
    </row>
    <row r="47" spans="1:30">
      <c r="A47" s="209">
        <f t="shared" si="5"/>
        <v>35</v>
      </c>
      <c r="B47" s="211"/>
      <c r="C47" s="211"/>
      <c r="D47" s="211"/>
      <c r="E47" s="211"/>
      <c r="F47" s="211"/>
      <c r="G47" s="211"/>
      <c r="H47" s="211"/>
      <c r="I47" s="211"/>
      <c r="J47" s="211"/>
      <c r="K47" s="211" t="str">
        <f t="shared" si="0"/>
        <v/>
      </c>
      <c r="L47" s="211"/>
      <c r="M47" s="211" t="str">
        <f t="shared" si="1"/>
        <v/>
      </c>
      <c r="N47" s="212"/>
      <c r="O47" s="213" t="str">
        <f t="shared" si="2"/>
        <v/>
      </c>
      <c r="P47" s="213" t="str">
        <f t="shared" si="2"/>
        <v/>
      </c>
      <c r="Q47" s="213" t="str">
        <f t="shared" si="2"/>
        <v/>
      </c>
      <c r="R47" s="212"/>
      <c r="S47" s="213" t="str">
        <f t="shared" si="3"/>
        <v/>
      </c>
      <c r="T47" s="213" t="str">
        <f t="shared" si="3"/>
        <v/>
      </c>
      <c r="U47" s="213" t="str">
        <f t="shared" si="3"/>
        <v/>
      </c>
      <c r="V47" s="212"/>
      <c r="W47" s="213" t="str">
        <f t="shared" si="4"/>
        <v/>
      </c>
      <c r="X47" s="213" t="str">
        <f t="shared" si="4"/>
        <v/>
      </c>
      <c r="Y47" s="213" t="str">
        <f t="shared" si="4"/>
        <v/>
      </c>
      <c r="Z47" s="212"/>
      <c r="AA47" s="212"/>
      <c r="AB47" s="212"/>
      <c r="AC47" s="212"/>
      <c r="AD47" s="212"/>
    </row>
    <row r="48" spans="1:30">
      <c r="A48" s="209">
        <f t="shared" si="5"/>
        <v>36</v>
      </c>
      <c r="B48" s="211"/>
      <c r="C48" s="211"/>
      <c r="D48" s="211"/>
      <c r="E48" s="211"/>
      <c r="F48" s="211"/>
      <c r="G48" s="211"/>
      <c r="H48" s="211"/>
      <c r="I48" s="211"/>
      <c r="J48" s="211"/>
      <c r="K48" s="211" t="str">
        <f t="shared" si="0"/>
        <v/>
      </c>
      <c r="L48" s="211"/>
      <c r="M48" s="211" t="str">
        <f t="shared" si="1"/>
        <v/>
      </c>
      <c r="N48" s="212"/>
      <c r="O48" s="213" t="str">
        <f t="shared" si="2"/>
        <v/>
      </c>
      <c r="P48" s="213" t="str">
        <f t="shared" si="2"/>
        <v/>
      </c>
      <c r="Q48" s="213" t="str">
        <f t="shared" si="2"/>
        <v/>
      </c>
      <c r="R48" s="212"/>
      <c r="S48" s="213" t="str">
        <f t="shared" si="3"/>
        <v/>
      </c>
      <c r="T48" s="213" t="str">
        <f t="shared" si="3"/>
        <v/>
      </c>
      <c r="U48" s="213" t="str">
        <f t="shared" si="3"/>
        <v/>
      </c>
      <c r="V48" s="212"/>
      <c r="W48" s="213" t="str">
        <f t="shared" si="4"/>
        <v/>
      </c>
      <c r="X48" s="213" t="str">
        <f t="shared" si="4"/>
        <v/>
      </c>
      <c r="Y48" s="213" t="str">
        <f t="shared" si="4"/>
        <v/>
      </c>
      <c r="Z48" s="212"/>
      <c r="AA48" s="212"/>
      <c r="AB48" s="212"/>
      <c r="AC48" s="212"/>
      <c r="AD48" s="212"/>
    </row>
    <row r="49" spans="1:30">
      <c r="A49" s="209">
        <f t="shared" si="5"/>
        <v>37</v>
      </c>
      <c r="B49" s="211"/>
      <c r="C49" s="211"/>
      <c r="D49" s="211"/>
      <c r="E49" s="211"/>
      <c r="F49" s="211"/>
      <c r="G49" s="211"/>
      <c r="H49" s="211"/>
      <c r="I49" s="211"/>
      <c r="J49" s="211"/>
      <c r="K49" s="211" t="str">
        <f t="shared" si="0"/>
        <v/>
      </c>
      <c r="L49" s="211"/>
      <c r="M49" s="211" t="str">
        <f t="shared" si="1"/>
        <v/>
      </c>
      <c r="N49" s="212"/>
      <c r="O49" s="213" t="str">
        <f t="shared" si="2"/>
        <v/>
      </c>
      <c r="P49" s="213" t="str">
        <f t="shared" si="2"/>
        <v/>
      </c>
      <c r="Q49" s="213" t="str">
        <f t="shared" si="2"/>
        <v/>
      </c>
      <c r="R49" s="212"/>
      <c r="S49" s="213" t="str">
        <f t="shared" si="3"/>
        <v/>
      </c>
      <c r="T49" s="213" t="str">
        <f t="shared" si="3"/>
        <v/>
      </c>
      <c r="U49" s="213" t="str">
        <f t="shared" si="3"/>
        <v/>
      </c>
      <c r="V49" s="212"/>
      <c r="W49" s="213" t="str">
        <f t="shared" si="4"/>
        <v/>
      </c>
      <c r="X49" s="213" t="str">
        <f t="shared" si="4"/>
        <v/>
      </c>
      <c r="Y49" s="213" t="str">
        <f t="shared" si="4"/>
        <v/>
      </c>
      <c r="Z49" s="212"/>
      <c r="AA49" s="212"/>
      <c r="AB49" s="212"/>
      <c r="AC49" s="212"/>
      <c r="AD49" s="212"/>
    </row>
    <row r="50" spans="1:30">
      <c r="A50" s="209">
        <f t="shared" si="5"/>
        <v>38</v>
      </c>
      <c r="B50" s="211"/>
      <c r="C50" s="211"/>
      <c r="D50" s="211"/>
      <c r="E50" s="211"/>
      <c r="F50" s="211"/>
      <c r="G50" s="211"/>
      <c r="H50" s="211"/>
      <c r="I50" s="211"/>
      <c r="J50" s="211"/>
      <c r="K50" s="211" t="str">
        <f t="shared" si="0"/>
        <v/>
      </c>
      <c r="L50" s="211"/>
      <c r="M50" s="211" t="str">
        <f t="shared" si="1"/>
        <v/>
      </c>
      <c r="N50" s="212"/>
      <c r="O50" s="213" t="str">
        <f t="shared" si="2"/>
        <v/>
      </c>
      <c r="P50" s="213" t="str">
        <f t="shared" si="2"/>
        <v/>
      </c>
      <c r="Q50" s="213" t="str">
        <f t="shared" si="2"/>
        <v/>
      </c>
      <c r="R50" s="212"/>
      <c r="S50" s="213" t="str">
        <f t="shared" si="3"/>
        <v/>
      </c>
      <c r="T50" s="213" t="str">
        <f t="shared" si="3"/>
        <v/>
      </c>
      <c r="U50" s="213" t="str">
        <f t="shared" si="3"/>
        <v/>
      </c>
      <c r="V50" s="212"/>
      <c r="W50" s="213" t="str">
        <f t="shared" si="4"/>
        <v/>
      </c>
      <c r="X50" s="213" t="str">
        <f t="shared" si="4"/>
        <v/>
      </c>
      <c r="Y50" s="213" t="str">
        <f t="shared" si="4"/>
        <v/>
      </c>
      <c r="Z50" s="212"/>
      <c r="AA50" s="212"/>
      <c r="AB50" s="212"/>
      <c r="AC50" s="212"/>
      <c r="AD50" s="212"/>
    </row>
    <row r="51" spans="1:30">
      <c r="A51" s="209">
        <f t="shared" si="5"/>
        <v>39</v>
      </c>
      <c r="B51" s="211"/>
      <c r="C51" s="211"/>
      <c r="D51" s="211"/>
      <c r="E51" s="211"/>
      <c r="F51" s="211"/>
      <c r="G51" s="211"/>
      <c r="H51" s="211"/>
      <c r="I51" s="211"/>
      <c r="J51" s="211"/>
      <c r="K51" s="211" t="str">
        <f t="shared" si="0"/>
        <v/>
      </c>
      <c r="L51" s="211"/>
      <c r="M51" s="211" t="str">
        <f t="shared" si="1"/>
        <v/>
      </c>
      <c r="N51" s="212"/>
      <c r="O51" s="213" t="str">
        <f t="shared" si="2"/>
        <v/>
      </c>
      <c r="P51" s="213" t="str">
        <f t="shared" si="2"/>
        <v/>
      </c>
      <c r="Q51" s="213" t="str">
        <f t="shared" si="2"/>
        <v/>
      </c>
      <c r="R51" s="212"/>
      <c r="S51" s="213" t="str">
        <f t="shared" si="3"/>
        <v/>
      </c>
      <c r="T51" s="213" t="str">
        <f t="shared" si="3"/>
        <v/>
      </c>
      <c r="U51" s="213" t="str">
        <f t="shared" si="3"/>
        <v/>
      </c>
      <c r="V51" s="212"/>
      <c r="W51" s="213" t="str">
        <f t="shared" si="4"/>
        <v/>
      </c>
      <c r="X51" s="213" t="str">
        <f t="shared" si="4"/>
        <v/>
      </c>
      <c r="Y51" s="213" t="str">
        <f t="shared" si="4"/>
        <v/>
      </c>
      <c r="Z51" s="212"/>
      <c r="AA51" s="212"/>
      <c r="AB51" s="212"/>
      <c r="AC51" s="212"/>
      <c r="AD51" s="212"/>
    </row>
    <row r="52" spans="1:30">
      <c r="A52" s="209">
        <f t="shared" si="5"/>
        <v>40</v>
      </c>
      <c r="B52" s="211"/>
      <c r="C52" s="211"/>
      <c r="D52" s="211"/>
      <c r="E52" s="211"/>
      <c r="F52" s="211"/>
      <c r="G52" s="211"/>
      <c r="H52" s="211"/>
      <c r="I52" s="211"/>
      <c r="J52" s="211"/>
      <c r="K52" s="211" t="str">
        <f t="shared" si="0"/>
        <v/>
      </c>
      <c r="L52" s="211"/>
      <c r="M52" s="211" t="str">
        <f t="shared" si="1"/>
        <v/>
      </c>
      <c r="N52" s="212"/>
      <c r="O52" s="213" t="str">
        <f t="shared" si="2"/>
        <v/>
      </c>
      <c r="P52" s="213" t="str">
        <f t="shared" si="2"/>
        <v/>
      </c>
      <c r="Q52" s="213" t="str">
        <f t="shared" si="2"/>
        <v/>
      </c>
      <c r="R52" s="212"/>
      <c r="S52" s="213" t="str">
        <f t="shared" si="3"/>
        <v/>
      </c>
      <c r="T52" s="213" t="str">
        <f t="shared" si="3"/>
        <v/>
      </c>
      <c r="U52" s="213" t="str">
        <f t="shared" si="3"/>
        <v/>
      </c>
      <c r="V52" s="212"/>
      <c r="W52" s="213" t="str">
        <f t="shared" si="4"/>
        <v/>
      </c>
      <c r="X52" s="213" t="str">
        <f t="shared" si="4"/>
        <v/>
      </c>
      <c r="Y52" s="213" t="str">
        <f t="shared" si="4"/>
        <v/>
      </c>
      <c r="Z52" s="212"/>
      <c r="AA52" s="212"/>
      <c r="AB52" s="212"/>
      <c r="AC52" s="212"/>
      <c r="AD52" s="212"/>
    </row>
    <row r="53" spans="1:30">
      <c r="A53" s="214"/>
      <c r="B53" s="215"/>
      <c r="C53" s="215"/>
      <c r="D53" s="215"/>
      <c r="E53" s="215"/>
      <c r="F53" s="215"/>
      <c r="G53" s="215"/>
      <c r="H53" s="215"/>
      <c r="I53" s="215"/>
      <c r="J53" s="215"/>
      <c r="K53" s="215"/>
      <c r="L53" s="215"/>
      <c r="M53" s="215"/>
      <c r="N53" s="216"/>
      <c r="O53" s="217"/>
      <c r="P53" s="217"/>
      <c r="Q53" s="217"/>
      <c r="R53" s="216"/>
      <c r="S53" s="217"/>
      <c r="T53" s="217"/>
      <c r="U53" s="217"/>
      <c r="V53" s="216"/>
      <c r="W53" s="217"/>
      <c r="X53" s="217"/>
      <c r="Y53" s="217"/>
      <c r="Z53" s="216"/>
      <c r="AA53" s="216"/>
      <c r="AB53" s="216"/>
      <c r="AC53" s="216"/>
      <c r="AD53" s="216"/>
    </row>
    <row r="54" spans="1:30">
      <c r="A54" s="218"/>
      <c r="B54" s="217"/>
      <c r="C54" s="217"/>
      <c r="D54" s="217"/>
      <c r="E54" s="217"/>
      <c r="F54" s="217"/>
      <c r="G54" s="217"/>
      <c r="H54" s="217"/>
      <c r="I54" s="217"/>
      <c r="J54" s="217"/>
      <c r="K54" s="217"/>
      <c r="L54" s="217"/>
      <c r="M54" s="217"/>
      <c r="N54" s="216"/>
      <c r="O54" s="217"/>
      <c r="P54" s="217"/>
      <c r="Q54" s="217"/>
      <c r="R54" s="216"/>
      <c r="S54" s="217"/>
      <c r="T54" s="217"/>
      <c r="U54" s="217"/>
      <c r="V54" s="216"/>
      <c r="W54" s="217"/>
      <c r="X54" s="217"/>
      <c r="Y54" s="217"/>
      <c r="Z54" s="216"/>
      <c r="AA54" s="216"/>
      <c r="AB54" s="216"/>
      <c r="AC54" s="216"/>
      <c r="AD54" s="216"/>
    </row>
    <row r="55" spans="1:30" ht="15.75">
      <c r="A55" s="758" t="s">
        <v>163</v>
      </c>
      <c r="B55" s="758"/>
      <c r="C55" s="758"/>
      <c r="D55" s="758"/>
      <c r="E55" s="758"/>
      <c r="F55" s="758"/>
      <c r="G55" s="758"/>
      <c r="H55" s="758"/>
      <c r="I55" s="758"/>
      <c r="J55" s="758"/>
      <c r="K55" s="758"/>
      <c r="L55" s="758"/>
      <c r="M55" s="758"/>
      <c r="N55" s="212"/>
      <c r="O55" s="213"/>
      <c r="P55" s="213"/>
      <c r="Q55" s="213"/>
      <c r="R55" s="212"/>
      <c r="S55" s="213"/>
      <c r="T55" s="213"/>
      <c r="U55" s="213"/>
      <c r="V55" s="212"/>
      <c r="W55" s="213"/>
      <c r="X55" s="213"/>
      <c r="Y55" s="213"/>
      <c r="Z55" s="212"/>
      <c r="AA55" s="212"/>
      <c r="AB55" s="212"/>
      <c r="AC55" s="212"/>
      <c r="AD55" s="212"/>
    </row>
    <row r="56" spans="1:30" ht="25.5">
      <c r="A56" s="209" t="s">
        <v>150</v>
      </c>
      <c r="B56" s="209" t="s">
        <v>151</v>
      </c>
      <c r="C56" s="209" t="s">
        <v>152</v>
      </c>
      <c r="D56" s="209" t="s">
        <v>153</v>
      </c>
      <c r="E56" s="209" t="s">
        <v>154</v>
      </c>
      <c r="F56" s="209" t="s">
        <v>155</v>
      </c>
      <c r="G56" s="209" t="s">
        <v>156</v>
      </c>
      <c r="H56" s="209" t="s">
        <v>157</v>
      </c>
      <c r="I56" s="209" t="s">
        <v>158</v>
      </c>
      <c r="J56" s="209" t="s">
        <v>159</v>
      </c>
      <c r="K56" s="209" t="s">
        <v>160</v>
      </c>
      <c r="L56" s="210" t="s">
        <v>161</v>
      </c>
      <c r="M56" s="209" t="s">
        <v>162</v>
      </c>
      <c r="N56" s="212"/>
      <c r="O56" s="213"/>
      <c r="P56" s="213"/>
      <c r="Q56" s="213"/>
      <c r="R56" s="212"/>
      <c r="S56" s="213"/>
      <c r="T56" s="213"/>
      <c r="U56" s="213"/>
      <c r="V56" s="212"/>
      <c r="W56" s="213"/>
      <c r="X56" s="213"/>
      <c r="Y56" s="213"/>
      <c r="Z56" s="212"/>
      <c r="AA56" s="212"/>
      <c r="AB56" s="212"/>
      <c r="AC56" s="212"/>
      <c r="AD56" s="212"/>
    </row>
    <row r="57" spans="1:30">
      <c r="A57" s="209">
        <f>A52+1</f>
        <v>41</v>
      </c>
      <c r="B57" s="211"/>
      <c r="C57" s="211"/>
      <c r="D57" s="211"/>
      <c r="E57" s="211"/>
      <c r="F57" s="211"/>
      <c r="G57" s="211"/>
      <c r="H57" s="211"/>
      <c r="I57" s="211"/>
      <c r="J57" s="211"/>
      <c r="K57" s="211" t="str">
        <f t="shared" ref="K57:K66" si="6">IF(L57&lt;&gt;"",IF(OR(L57&lt;$H$9,L57&gt;$E$9),0,1),"")</f>
        <v/>
      </c>
      <c r="L57" s="211"/>
      <c r="M57" s="211" t="str">
        <f t="shared" ref="M57:M66" si="7">IF(B57&lt;&gt;"",IF(SUM(B57:J57)=9,"+",IF(SUM(B57:J57)=0,"-","x")),"")</f>
        <v/>
      </c>
      <c r="N57" s="212"/>
      <c r="O57" s="213" t="str">
        <f t="shared" ref="O57:Q66" si="8">IF(B57&lt;&gt;"",IF(AND(B57=0,E57=0),"a",IF(AND(B57=1,E57=0),"b",IF(AND(B57=0,E57=1),"c","d"))),"")</f>
        <v/>
      </c>
      <c r="P57" s="213" t="str">
        <f t="shared" si="8"/>
        <v/>
      </c>
      <c r="Q57" s="213" t="str">
        <f t="shared" si="8"/>
        <v/>
      </c>
      <c r="R57" s="212"/>
      <c r="S57" s="213" t="str">
        <f t="shared" ref="S57:U66" si="9">IF(E57&lt;&gt;"",IF(AND(E57=0,H57=0),"a",IF(AND(E57=1,H57=0),"b",IF(AND(E57=0,H57=1),"c","d"))),"")</f>
        <v/>
      </c>
      <c r="T57" s="213" t="str">
        <f t="shared" si="9"/>
        <v/>
      </c>
      <c r="U57" s="213" t="str">
        <f t="shared" si="9"/>
        <v/>
      </c>
      <c r="V57" s="212"/>
      <c r="W57" s="213" t="str">
        <f t="shared" ref="W57:Y66" si="10">IF(B57&lt;&gt;"",IF(AND(B57=0,H57=0),"a",IF(AND(B57=1,H57=0),"b",IF(AND(B57=0,H57=1),"c","d"))),"")</f>
        <v/>
      </c>
      <c r="X57" s="213" t="str">
        <f t="shared" si="10"/>
        <v/>
      </c>
      <c r="Y57" s="213" t="str">
        <f t="shared" si="10"/>
        <v/>
      </c>
      <c r="Z57" s="212"/>
      <c r="AA57" s="212"/>
      <c r="AB57" s="212"/>
      <c r="AC57" s="212"/>
      <c r="AD57" s="212"/>
    </row>
    <row r="58" spans="1:30">
      <c r="A58" s="209">
        <f t="shared" si="5"/>
        <v>42</v>
      </c>
      <c r="B58" s="211"/>
      <c r="C58" s="211"/>
      <c r="D58" s="211"/>
      <c r="E58" s="211"/>
      <c r="F58" s="211"/>
      <c r="G58" s="211"/>
      <c r="H58" s="211"/>
      <c r="I58" s="211"/>
      <c r="J58" s="211"/>
      <c r="K58" s="211" t="str">
        <f t="shared" si="6"/>
        <v/>
      </c>
      <c r="L58" s="211"/>
      <c r="M58" s="211" t="str">
        <f t="shared" si="7"/>
        <v/>
      </c>
      <c r="N58" s="212"/>
      <c r="O58" s="213" t="str">
        <f t="shared" si="8"/>
        <v/>
      </c>
      <c r="P58" s="213" t="str">
        <f t="shared" si="8"/>
        <v/>
      </c>
      <c r="Q58" s="213" t="str">
        <f t="shared" si="8"/>
        <v/>
      </c>
      <c r="R58" s="212"/>
      <c r="S58" s="213" t="str">
        <f t="shared" si="9"/>
        <v/>
      </c>
      <c r="T58" s="213" t="str">
        <f t="shared" si="9"/>
        <v/>
      </c>
      <c r="U58" s="213" t="str">
        <f t="shared" si="9"/>
        <v/>
      </c>
      <c r="V58" s="212"/>
      <c r="W58" s="213" t="str">
        <f t="shared" si="10"/>
        <v/>
      </c>
      <c r="X58" s="213" t="str">
        <f t="shared" si="10"/>
        <v/>
      </c>
      <c r="Y58" s="213" t="str">
        <f t="shared" si="10"/>
        <v/>
      </c>
      <c r="Z58" s="212"/>
      <c r="AA58" s="212"/>
      <c r="AB58" s="212"/>
      <c r="AC58" s="212"/>
      <c r="AD58" s="212"/>
    </row>
    <row r="59" spans="1:30">
      <c r="A59" s="209">
        <f t="shared" si="5"/>
        <v>43</v>
      </c>
      <c r="B59" s="211"/>
      <c r="C59" s="211"/>
      <c r="D59" s="211"/>
      <c r="E59" s="211"/>
      <c r="F59" s="211"/>
      <c r="G59" s="211"/>
      <c r="H59" s="211"/>
      <c r="I59" s="211"/>
      <c r="J59" s="211"/>
      <c r="K59" s="211" t="str">
        <f t="shared" si="6"/>
        <v/>
      </c>
      <c r="L59" s="211"/>
      <c r="M59" s="211" t="str">
        <f t="shared" si="7"/>
        <v/>
      </c>
      <c r="N59" s="212"/>
      <c r="O59" s="213" t="str">
        <f t="shared" si="8"/>
        <v/>
      </c>
      <c r="P59" s="213" t="str">
        <f t="shared" si="8"/>
        <v/>
      </c>
      <c r="Q59" s="213" t="str">
        <f t="shared" si="8"/>
        <v/>
      </c>
      <c r="R59" s="212"/>
      <c r="S59" s="213" t="str">
        <f t="shared" si="9"/>
        <v/>
      </c>
      <c r="T59" s="213" t="str">
        <f t="shared" si="9"/>
        <v/>
      </c>
      <c r="U59" s="213" t="str">
        <f t="shared" si="9"/>
        <v/>
      </c>
      <c r="V59" s="212"/>
      <c r="W59" s="213" t="str">
        <f t="shared" si="10"/>
        <v/>
      </c>
      <c r="X59" s="213" t="str">
        <f t="shared" si="10"/>
        <v/>
      </c>
      <c r="Y59" s="213" t="str">
        <f t="shared" si="10"/>
        <v/>
      </c>
      <c r="Z59" s="212"/>
      <c r="AA59" s="212"/>
      <c r="AB59" s="212"/>
      <c r="AC59" s="212"/>
      <c r="AD59" s="212"/>
    </row>
    <row r="60" spans="1:30">
      <c r="A60" s="209">
        <f t="shared" si="5"/>
        <v>44</v>
      </c>
      <c r="B60" s="211"/>
      <c r="C60" s="211"/>
      <c r="D60" s="211"/>
      <c r="E60" s="211"/>
      <c r="F60" s="211"/>
      <c r="G60" s="211"/>
      <c r="H60" s="211"/>
      <c r="I60" s="211"/>
      <c r="J60" s="211"/>
      <c r="K60" s="211" t="str">
        <f t="shared" si="6"/>
        <v/>
      </c>
      <c r="L60" s="211"/>
      <c r="M60" s="211" t="str">
        <f t="shared" si="7"/>
        <v/>
      </c>
      <c r="N60" s="212"/>
      <c r="O60" s="213" t="str">
        <f t="shared" si="8"/>
        <v/>
      </c>
      <c r="P60" s="213" t="str">
        <f t="shared" si="8"/>
        <v/>
      </c>
      <c r="Q60" s="213" t="str">
        <f t="shared" si="8"/>
        <v/>
      </c>
      <c r="R60" s="212"/>
      <c r="S60" s="213" t="str">
        <f t="shared" si="9"/>
        <v/>
      </c>
      <c r="T60" s="213" t="str">
        <f t="shared" si="9"/>
        <v/>
      </c>
      <c r="U60" s="213" t="str">
        <f t="shared" si="9"/>
        <v/>
      </c>
      <c r="V60" s="212"/>
      <c r="W60" s="213" t="str">
        <f t="shared" si="10"/>
        <v/>
      </c>
      <c r="X60" s="213" t="str">
        <f t="shared" si="10"/>
        <v/>
      </c>
      <c r="Y60" s="213" t="str">
        <f t="shared" si="10"/>
        <v/>
      </c>
      <c r="Z60" s="212"/>
      <c r="AA60" s="212"/>
      <c r="AB60" s="212"/>
      <c r="AC60" s="212"/>
      <c r="AD60" s="212"/>
    </row>
    <row r="61" spans="1:30">
      <c r="A61" s="209">
        <f t="shared" si="5"/>
        <v>45</v>
      </c>
      <c r="B61" s="211"/>
      <c r="C61" s="211"/>
      <c r="D61" s="211"/>
      <c r="E61" s="211"/>
      <c r="F61" s="211"/>
      <c r="G61" s="211"/>
      <c r="H61" s="211"/>
      <c r="I61" s="211"/>
      <c r="J61" s="211"/>
      <c r="K61" s="211" t="str">
        <f t="shared" si="6"/>
        <v/>
      </c>
      <c r="L61" s="211"/>
      <c r="M61" s="211" t="str">
        <f t="shared" si="7"/>
        <v/>
      </c>
      <c r="N61" s="212"/>
      <c r="O61" s="213" t="str">
        <f t="shared" si="8"/>
        <v/>
      </c>
      <c r="P61" s="213" t="str">
        <f t="shared" si="8"/>
        <v/>
      </c>
      <c r="Q61" s="213" t="str">
        <f t="shared" si="8"/>
        <v/>
      </c>
      <c r="R61" s="212"/>
      <c r="S61" s="213" t="str">
        <f t="shared" si="9"/>
        <v/>
      </c>
      <c r="T61" s="213" t="str">
        <f t="shared" si="9"/>
        <v/>
      </c>
      <c r="U61" s="213" t="str">
        <f t="shared" si="9"/>
        <v/>
      </c>
      <c r="V61" s="212"/>
      <c r="W61" s="213" t="str">
        <f t="shared" si="10"/>
        <v/>
      </c>
      <c r="X61" s="213" t="str">
        <f t="shared" si="10"/>
        <v/>
      </c>
      <c r="Y61" s="213" t="str">
        <f t="shared" si="10"/>
        <v/>
      </c>
      <c r="Z61" s="212"/>
      <c r="AA61" s="212"/>
      <c r="AB61" s="212"/>
      <c r="AC61" s="212"/>
      <c r="AD61" s="212"/>
    </row>
    <row r="62" spans="1:30">
      <c r="A62" s="209">
        <f t="shared" si="5"/>
        <v>46</v>
      </c>
      <c r="B62" s="211"/>
      <c r="C62" s="211"/>
      <c r="D62" s="211"/>
      <c r="E62" s="211"/>
      <c r="F62" s="211"/>
      <c r="G62" s="211"/>
      <c r="H62" s="211"/>
      <c r="I62" s="211"/>
      <c r="J62" s="211"/>
      <c r="K62" s="211" t="str">
        <f t="shared" si="6"/>
        <v/>
      </c>
      <c r="L62" s="211"/>
      <c r="M62" s="211" t="str">
        <f t="shared" si="7"/>
        <v/>
      </c>
      <c r="N62" s="212"/>
      <c r="O62" s="213" t="str">
        <f t="shared" si="8"/>
        <v/>
      </c>
      <c r="P62" s="213" t="str">
        <f t="shared" si="8"/>
        <v/>
      </c>
      <c r="Q62" s="213" t="str">
        <f t="shared" si="8"/>
        <v/>
      </c>
      <c r="R62" s="212"/>
      <c r="S62" s="213" t="str">
        <f t="shared" si="9"/>
        <v/>
      </c>
      <c r="T62" s="213" t="str">
        <f t="shared" si="9"/>
        <v/>
      </c>
      <c r="U62" s="213" t="str">
        <f t="shared" si="9"/>
        <v/>
      </c>
      <c r="V62" s="212"/>
      <c r="W62" s="213" t="str">
        <f t="shared" si="10"/>
        <v/>
      </c>
      <c r="X62" s="213" t="str">
        <f t="shared" si="10"/>
        <v/>
      </c>
      <c r="Y62" s="213" t="str">
        <f t="shared" si="10"/>
        <v/>
      </c>
      <c r="Z62" s="212"/>
      <c r="AA62" s="212"/>
      <c r="AB62" s="212"/>
      <c r="AC62" s="212"/>
      <c r="AD62" s="212"/>
    </row>
    <row r="63" spans="1:30">
      <c r="A63" s="209">
        <f t="shared" si="5"/>
        <v>47</v>
      </c>
      <c r="B63" s="211"/>
      <c r="C63" s="211"/>
      <c r="D63" s="211"/>
      <c r="E63" s="211"/>
      <c r="F63" s="211"/>
      <c r="G63" s="211"/>
      <c r="H63" s="211"/>
      <c r="I63" s="211"/>
      <c r="J63" s="211"/>
      <c r="K63" s="211" t="str">
        <f t="shared" si="6"/>
        <v/>
      </c>
      <c r="L63" s="211"/>
      <c r="M63" s="211" t="str">
        <f t="shared" si="7"/>
        <v/>
      </c>
      <c r="N63" s="212"/>
      <c r="O63" s="213" t="str">
        <f t="shared" si="8"/>
        <v/>
      </c>
      <c r="P63" s="213" t="str">
        <f t="shared" si="8"/>
        <v/>
      </c>
      <c r="Q63" s="213" t="str">
        <f t="shared" si="8"/>
        <v/>
      </c>
      <c r="R63" s="212"/>
      <c r="S63" s="213" t="str">
        <f t="shared" si="9"/>
        <v/>
      </c>
      <c r="T63" s="213" t="str">
        <f t="shared" si="9"/>
        <v/>
      </c>
      <c r="U63" s="213" t="str">
        <f t="shared" si="9"/>
        <v/>
      </c>
      <c r="V63" s="212"/>
      <c r="W63" s="213" t="str">
        <f t="shared" si="10"/>
        <v/>
      </c>
      <c r="X63" s="213" t="str">
        <f t="shared" si="10"/>
        <v/>
      </c>
      <c r="Y63" s="213" t="str">
        <f t="shared" si="10"/>
        <v/>
      </c>
      <c r="Z63" s="212"/>
      <c r="AA63" s="212"/>
      <c r="AB63" s="212"/>
      <c r="AC63" s="212"/>
      <c r="AD63" s="212"/>
    </row>
    <row r="64" spans="1:30">
      <c r="A64" s="209">
        <f t="shared" si="5"/>
        <v>48</v>
      </c>
      <c r="B64" s="211"/>
      <c r="C64" s="211"/>
      <c r="D64" s="211"/>
      <c r="E64" s="211"/>
      <c r="F64" s="211"/>
      <c r="G64" s="211"/>
      <c r="H64" s="211"/>
      <c r="I64" s="211"/>
      <c r="J64" s="211"/>
      <c r="K64" s="211" t="str">
        <f t="shared" si="6"/>
        <v/>
      </c>
      <c r="L64" s="211"/>
      <c r="M64" s="211" t="str">
        <f t="shared" si="7"/>
        <v/>
      </c>
      <c r="N64" s="212"/>
      <c r="O64" s="213" t="str">
        <f t="shared" si="8"/>
        <v/>
      </c>
      <c r="P64" s="213" t="str">
        <f t="shared" si="8"/>
        <v/>
      </c>
      <c r="Q64" s="213" t="str">
        <f t="shared" si="8"/>
        <v/>
      </c>
      <c r="R64" s="212"/>
      <c r="S64" s="213" t="str">
        <f t="shared" si="9"/>
        <v/>
      </c>
      <c r="T64" s="213" t="str">
        <f t="shared" si="9"/>
        <v/>
      </c>
      <c r="U64" s="213" t="str">
        <f t="shared" si="9"/>
        <v/>
      </c>
      <c r="V64" s="212"/>
      <c r="W64" s="213" t="str">
        <f t="shared" si="10"/>
        <v/>
      </c>
      <c r="X64" s="213" t="str">
        <f t="shared" si="10"/>
        <v/>
      </c>
      <c r="Y64" s="213" t="str">
        <f t="shared" si="10"/>
        <v/>
      </c>
      <c r="Z64" s="212"/>
      <c r="AA64" s="212"/>
      <c r="AB64" s="212"/>
      <c r="AC64" s="212"/>
      <c r="AD64" s="212"/>
    </row>
    <row r="65" spans="1:30">
      <c r="A65" s="209">
        <f t="shared" si="5"/>
        <v>49</v>
      </c>
      <c r="B65" s="211"/>
      <c r="C65" s="211"/>
      <c r="D65" s="211"/>
      <c r="E65" s="211"/>
      <c r="F65" s="211"/>
      <c r="G65" s="211"/>
      <c r="H65" s="211"/>
      <c r="I65" s="211"/>
      <c r="J65" s="211"/>
      <c r="K65" s="211" t="str">
        <f t="shared" si="6"/>
        <v/>
      </c>
      <c r="L65" s="211"/>
      <c r="M65" s="211" t="str">
        <f t="shared" si="7"/>
        <v/>
      </c>
      <c r="N65" s="212"/>
      <c r="O65" s="213" t="str">
        <f t="shared" si="8"/>
        <v/>
      </c>
      <c r="P65" s="213" t="str">
        <f t="shared" si="8"/>
        <v/>
      </c>
      <c r="Q65" s="213" t="str">
        <f t="shared" si="8"/>
        <v/>
      </c>
      <c r="R65" s="212"/>
      <c r="S65" s="213" t="str">
        <f t="shared" si="9"/>
        <v/>
      </c>
      <c r="T65" s="213" t="str">
        <f t="shared" si="9"/>
        <v/>
      </c>
      <c r="U65" s="213" t="str">
        <f t="shared" si="9"/>
        <v/>
      </c>
      <c r="V65" s="212"/>
      <c r="W65" s="213" t="str">
        <f t="shared" si="10"/>
        <v/>
      </c>
      <c r="X65" s="213" t="str">
        <f t="shared" si="10"/>
        <v/>
      </c>
      <c r="Y65" s="213" t="str">
        <f t="shared" si="10"/>
        <v/>
      </c>
      <c r="Z65" s="212"/>
      <c r="AA65" s="212"/>
      <c r="AB65" s="212"/>
      <c r="AC65" s="212"/>
      <c r="AD65" s="212"/>
    </row>
    <row r="66" spans="1:30">
      <c r="A66" s="209">
        <f t="shared" si="5"/>
        <v>50</v>
      </c>
      <c r="B66" s="211"/>
      <c r="C66" s="211"/>
      <c r="D66" s="211"/>
      <c r="E66" s="211"/>
      <c r="F66" s="211"/>
      <c r="G66" s="211"/>
      <c r="H66" s="211"/>
      <c r="I66" s="211"/>
      <c r="J66" s="211"/>
      <c r="K66" s="211" t="str">
        <f t="shared" si="6"/>
        <v/>
      </c>
      <c r="L66" s="211"/>
      <c r="M66" s="211" t="str">
        <f t="shared" si="7"/>
        <v/>
      </c>
      <c r="N66" s="212"/>
      <c r="O66" s="213" t="str">
        <f t="shared" si="8"/>
        <v/>
      </c>
      <c r="P66" s="213" t="str">
        <f t="shared" si="8"/>
        <v/>
      </c>
      <c r="Q66" s="213" t="str">
        <f t="shared" si="8"/>
        <v/>
      </c>
      <c r="R66" s="212"/>
      <c r="S66" s="213" t="str">
        <f t="shared" si="9"/>
        <v/>
      </c>
      <c r="T66" s="213" t="str">
        <f t="shared" si="9"/>
        <v/>
      </c>
      <c r="U66" s="213" t="str">
        <f t="shared" si="9"/>
        <v/>
      </c>
      <c r="V66" s="212"/>
      <c r="W66" s="213" t="str">
        <f t="shared" si="10"/>
        <v/>
      </c>
      <c r="X66" s="213" t="str">
        <f t="shared" si="10"/>
        <v/>
      </c>
      <c r="Y66" s="213" t="str">
        <f t="shared" si="10"/>
        <v/>
      </c>
      <c r="Z66" s="212"/>
      <c r="AA66" s="212"/>
      <c r="AB66" s="212"/>
      <c r="AC66" s="212"/>
      <c r="AD66" s="212"/>
    </row>
    <row r="67" spans="1:30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160"/>
      <c r="O67" s="208"/>
      <c r="P67" s="208"/>
      <c r="Q67" s="208"/>
      <c r="R67" s="160"/>
      <c r="S67" s="160"/>
      <c r="T67" s="160"/>
      <c r="U67" s="160"/>
      <c r="V67" s="160"/>
      <c r="W67" s="160"/>
      <c r="X67" s="160"/>
      <c r="Y67" s="160"/>
    </row>
    <row r="68" spans="1:30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160"/>
      <c r="O68" s="208"/>
      <c r="P68" s="208"/>
      <c r="Q68" s="208"/>
      <c r="R68" s="160"/>
      <c r="S68" s="160"/>
      <c r="T68" s="160"/>
      <c r="U68" s="160"/>
      <c r="V68" s="160"/>
      <c r="W68" s="160"/>
      <c r="X68" s="160"/>
      <c r="Y68" s="160"/>
    </row>
    <row r="69" spans="1:30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160"/>
      <c r="O69" s="208"/>
      <c r="P69" s="208"/>
      <c r="Q69" s="208"/>
      <c r="R69" s="160"/>
      <c r="S69" s="160"/>
      <c r="T69" s="160"/>
      <c r="U69" s="160"/>
      <c r="V69" s="160"/>
      <c r="W69" s="160"/>
      <c r="X69" s="160"/>
      <c r="Y69" s="160"/>
    </row>
    <row r="70" spans="1:30">
      <c r="A70" s="219"/>
      <c r="B70" s="217"/>
      <c r="C70" s="217"/>
      <c r="D70" s="217"/>
      <c r="E70" s="217"/>
      <c r="F70" s="217"/>
      <c r="G70" s="217"/>
      <c r="H70" s="217"/>
      <c r="I70" s="217"/>
      <c r="J70" s="217"/>
      <c r="K70" s="217"/>
      <c r="L70" s="217"/>
      <c r="M70" s="217"/>
      <c r="N70" s="217"/>
      <c r="O70" s="217"/>
      <c r="P70" s="217"/>
      <c r="Q70" s="217"/>
      <c r="R70" s="217"/>
      <c r="S70" s="217"/>
      <c r="T70" s="217"/>
      <c r="U70" s="217"/>
      <c r="V70" s="217"/>
      <c r="W70" s="217"/>
      <c r="X70" s="217"/>
      <c r="Y70" s="217"/>
      <c r="Z70" s="217"/>
      <c r="AA70" s="217"/>
      <c r="AB70" s="217"/>
      <c r="AC70" s="217"/>
      <c r="AD70" s="217"/>
    </row>
    <row r="71" spans="1:30" ht="20.25">
      <c r="A71" s="3"/>
      <c r="B71" s="220" t="s">
        <v>164</v>
      </c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160"/>
      <c r="O71" s="208"/>
      <c r="P71" s="208"/>
      <c r="Q71" s="208"/>
      <c r="R71" s="160"/>
      <c r="S71" s="160"/>
      <c r="T71" s="160"/>
      <c r="U71" s="160"/>
      <c r="V71" s="160"/>
      <c r="W71" s="160"/>
      <c r="X71" s="160"/>
      <c r="Y71" s="160"/>
    </row>
    <row r="72" spans="1:30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160"/>
      <c r="O72" s="208"/>
      <c r="P72" s="208"/>
      <c r="Q72" s="208"/>
      <c r="R72" s="160"/>
      <c r="S72" s="160"/>
      <c r="T72" s="160"/>
      <c r="U72" s="160"/>
      <c r="V72" s="160"/>
      <c r="W72" s="160"/>
      <c r="X72" s="160"/>
      <c r="Y72" s="160"/>
    </row>
    <row r="73" spans="1:30" ht="15.75">
      <c r="A73" s="3"/>
      <c r="B73" s="759" t="s">
        <v>165</v>
      </c>
      <c r="C73" s="759"/>
      <c r="D73" s="759"/>
      <c r="E73" s="759"/>
      <c r="F73" s="759"/>
      <c r="G73" s="759"/>
      <c r="H73" s="759"/>
      <c r="I73" s="759"/>
      <c r="J73" s="759"/>
      <c r="K73" s="759"/>
      <c r="L73" s="3"/>
      <c r="M73" s="3"/>
      <c r="N73" s="160"/>
      <c r="O73" s="208"/>
      <c r="P73" s="208"/>
      <c r="Q73" s="208"/>
      <c r="R73" s="160"/>
      <c r="S73" s="160"/>
      <c r="T73" s="160"/>
      <c r="U73" s="160"/>
      <c r="V73" s="160"/>
      <c r="W73" s="160"/>
      <c r="X73" s="160"/>
      <c r="Y73" s="160"/>
    </row>
    <row r="74" spans="1:30">
      <c r="A74" s="213"/>
      <c r="B74" s="221"/>
      <c r="C74" s="221"/>
      <c r="D74" s="221"/>
      <c r="E74" s="221"/>
      <c r="F74" s="221"/>
      <c r="G74" s="221"/>
      <c r="H74" s="221"/>
      <c r="I74" s="221"/>
      <c r="J74" s="221"/>
      <c r="K74" s="221"/>
      <c r="L74" s="213"/>
      <c r="M74" s="213"/>
      <c r="N74" s="160"/>
      <c r="O74" s="208"/>
      <c r="P74" s="208"/>
      <c r="Q74" s="208"/>
      <c r="R74" s="160"/>
      <c r="S74" s="160"/>
      <c r="T74" s="160"/>
      <c r="U74" s="160"/>
      <c r="V74" s="160"/>
      <c r="W74" s="160"/>
      <c r="X74" s="160"/>
      <c r="Y74" s="160"/>
      <c r="Z74" s="212"/>
      <c r="AA74" s="212"/>
      <c r="AB74" s="212"/>
      <c r="AC74" s="212"/>
      <c r="AD74" s="212"/>
    </row>
    <row r="75" spans="1:30">
      <c r="A75" s="3"/>
      <c r="B75" s="3"/>
      <c r="C75" s="3"/>
      <c r="D75" s="3"/>
      <c r="E75" s="3"/>
      <c r="F75" s="3"/>
      <c r="G75" s="760" t="s">
        <v>118</v>
      </c>
      <c r="H75" s="760"/>
      <c r="I75" s="760"/>
      <c r="J75" s="760"/>
      <c r="K75" s="761" t="s">
        <v>166</v>
      </c>
      <c r="L75" s="222"/>
      <c r="M75" s="3"/>
      <c r="N75" s="3"/>
      <c r="O75" s="208"/>
      <c r="P75" s="208"/>
      <c r="Q75" s="160"/>
      <c r="R75" s="208"/>
      <c r="S75" s="208"/>
      <c r="T75" s="208"/>
      <c r="U75" s="160"/>
      <c r="V75" s="160"/>
      <c r="W75" s="208"/>
      <c r="X75" s="208"/>
      <c r="Y75" s="160"/>
      <c r="Z75" s="160"/>
    </row>
    <row r="76" spans="1:30">
      <c r="A76" s="3"/>
      <c r="B76" s="3"/>
      <c r="C76" s="3"/>
      <c r="D76" s="3"/>
      <c r="E76" s="3"/>
      <c r="F76" s="3"/>
      <c r="G76" s="760">
        <v>0</v>
      </c>
      <c r="H76" s="760"/>
      <c r="I76" s="760">
        <v>1</v>
      </c>
      <c r="J76" s="760"/>
      <c r="K76" s="762"/>
      <c r="L76" s="222"/>
      <c r="M76" s="3"/>
      <c r="N76" s="3"/>
      <c r="O76" s="208"/>
      <c r="P76" s="208"/>
      <c r="Q76" s="160"/>
      <c r="R76" s="208"/>
      <c r="S76" s="208"/>
      <c r="T76" s="208"/>
      <c r="U76" s="160"/>
      <c r="V76" s="160"/>
      <c r="W76" s="208"/>
      <c r="X76" s="208"/>
      <c r="Y76" s="160"/>
      <c r="Z76" s="160"/>
    </row>
    <row r="77" spans="1:30">
      <c r="A77" s="3"/>
      <c r="B77" s="763" t="s">
        <v>167</v>
      </c>
      <c r="C77" s="223">
        <v>0</v>
      </c>
      <c r="D77" s="224" t="s">
        <v>168</v>
      </c>
      <c r="E77" s="225"/>
      <c r="F77" s="226"/>
      <c r="G77" s="764">
        <f>COUNTIF($O$13:$Q$66,"=a")</f>
        <v>0</v>
      </c>
      <c r="H77" s="765"/>
      <c r="I77" s="764">
        <f>COUNTIF($O$13:$Q$66,"=c")</f>
        <v>0</v>
      </c>
      <c r="J77" s="765"/>
      <c r="K77" s="227">
        <f>SUM(G77:J77)</f>
        <v>0</v>
      </c>
      <c r="L77" s="4"/>
      <c r="M77" s="3"/>
      <c r="N77" s="3"/>
      <c r="O77" s="208"/>
      <c r="P77" s="208"/>
      <c r="Q77" s="160"/>
      <c r="R77" s="208"/>
      <c r="S77" s="208"/>
      <c r="T77" s="208"/>
      <c r="U77" s="160"/>
      <c r="V77" s="160"/>
      <c r="W77" s="208"/>
      <c r="X77" s="208"/>
      <c r="Y77" s="160"/>
      <c r="Z77" s="160"/>
    </row>
    <row r="78" spans="1:30">
      <c r="A78" s="3"/>
      <c r="B78" s="763"/>
      <c r="C78" s="228"/>
      <c r="D78" s="229" t="s">
        <v>169</v>
      </c>
      <c r="E78" s="230"/>
      <c r="F78" s="231"/>
      <c r="G78" s="766" t="str">
        <f>IF(K81&lt;&gt;0,K77/K81*G81,"")</f>
        <v/>
      </c>
      <c r="H78" s="767"/>
      <c r="I78" s="766" t="str">
        <f>IF(K81&lt;&gt;0,K77/K81*I81,"")</f>
        <v/>
      </c>
      <c r="J78" s="767"/>
      <c r="K78" s="232" t="str">
        <f>IF(G78&lt;&gt;"",G78+I78,"")</f>
        <v/>
      </c>
      <c r="L78" s="233"/>
      <c r="M78" s="3"/>
      <c r="N78" s="3"/>
      <c r="O78" s="208"/>
      <c r="P78" s="208"/>
      <c r="Q78" s="160"/>
      <c r="R78" s="208"/>
      <c r="S78" s="208"/>
      <c r="T78" s="208"/>
      <c r="U78" s="160"/>
      <c r="V78" s="160"/>
      <c r="W78" s="208"/>
      <c r="X78" s="208"/>
      <c r="Y78" s="160"/>
      <c r="Z78" s="160"/>
    </row>
    <row r="79" spans="1:30">
      <c r="A79" s="3"/>
      <c r="B79" s="763"/>
      <c r="C79" s="223">
        <v>1</v>
      </c>
      <c r="D79" s="224" t="s">
        <v>168</v>
      </c>
      <c r="E79" s="225"/>
      <c r="F79" s="226"/>
      <c r="G79" s="764">
        <f>COUNTIF($O$13:$Q$66,"=b")</f>
        <v>0</v>
      </c>
      <c r="H79" s="765"/>
      <c r="I79" s="764">
        <f>COUNTIF($O$13:$Q$66,"=d")</f>
        <v>0</v>
      </c>
      <c r="J79" s="765"/>
      <c r="K79" s="227">
        <f>SUM(G79:J79)</f>
        <v>0</v>
      </c>
      <c r="L79" s="4"/>
      <c r="M79" s="3"/>
      <c r="N79" s="3"/>
      <c r="O79" s="208"/>
      <c r="P79" s="208"/>
      <c r="Q79" s="160"/>
      <c r="R79" s="208"/>
      <c r="S79" s="208"/>
      <c r="T79" s="208"/>
      <c r="U79" s="160"/>
      <c r="V79" s="160"/>
      <c r="W79" s="208"/>
      <c r="X79" s="208"/>
      <c r="Y79" s="160"/>
      <c r="Z79" s="160"/>
    </row>
    <row r="80" spans="1:30">
      <c r="A80" s="3"/>
      <c r="B80" s="763"/>
      <c r="C80" s="228"/>
      <c r="D80" s="229" t="s">
        <v>169</v>
      </c>
      <c r="E80" s="230"/>
      <c r="F80" s="231"/>
      <c r="G80" s="766" t="str">
        <f>IF(K81&lt;&gt;0,K79/K81*G81,"")</f>
        <v/>
      </c>
      <c r="H80" s="767"/>
      <c r="I80" s="766" t="str">
        <f>IF(K81&lt;&gt;0,K79/K81*I81,"")</f>
        <v/>
      </c>
      <c r="J80" s="767"/>
      <c r="K80" s="232" t="str">
        <f>IF(G80&lt;&gt;"",G80+I80,"")</f>
        <v/>
      </c>
      <c r="L80" s="233"/>
      <c r="M80" s="3"/>
      <c r="N80" s="3"/>
      <c r="O80" s="208"/>
      <c r="P80" s="208"/>
      <c r="Q80" s="160"/>
      <c r="R80" s="208"/>
      <c r="S80" s="208"/>
      <c r="T80" s="208"/>
      <c r="U80" s="160"/>
      <c r="V80" s="160"/>
      <c r="W80" s="208"/>
      <c r="X80" s="208"/>
      <c r="Y80" s="160"/>
      <c r="Z80" s="160"/>
    </row>
    <row r="81" spans="1:26">
      <c r="A81" s="3"/>
      <c r="B81" s="768" t="s">
        <v>166</v>
      </c>
      <c r="C81" s="769"/>
      <c r="D81" s="224" t="s">
        <v>168</v>
      </c>
      <c r="E81" s="225"/>
      <c r="F81" s="226"/>
      <c r="G81" s="764">
        <f>G77+G79</f>
        <v>0</v>
      </c>
      <c r="H81" s="765"/>
      <c r="I81" s="764">
        <f>I77+I79</f>
        <v>0</v>
      </c>
      <c r="J81" s="765"/>
      <c r="K81" s="227">
        <f>K77+K79</f>
        <v>0</v>
      </c>
      <c r="L81" s="4"/>
      <c r="M81" s="3"/>
      <c r="N81" s="234"/>
      <c r="O81" s="160"/>
      <c r="P81" s="208"/>
      <c r="Q81" s="208"/>
      <c r="R81" s="208"/>
      <c r="S81" s="160"/>
      <c r="T81" s="160"/>
      <c r="U81" s="160"/>
      <c r="V81" s="160"/>
      <c r="W81" s="160"/>
      <c r="X81" s="160"/>
      <c r="Y81" s="160"/>
      <c r="Z81" s="160"/>
    </row>
    <row r="82" spans="1:26">
      <c r="A82" s="3"/>
      <c r="B82" s="770"/>
      <c r="C82" s="771"/>
      <c r="D82" s="229" t="s">
        <v>169</v>
      </c>
      <c r="E82" s="230"/>
      <c r="F82" s="231"/>
      <c r="G82" s="766" t="str">
        <f>IF(G78&lt;&gt;"",G78+G80,"")</f>
        <v/>
      </c>
      <c r="H82" s="767"/>
      <c r="I82" s="766" t="str">
        <f>IF(I78&lt;&gt;"",I78+I80,"")</f>
        <v/>
      </c>
      <c r="J82" s="767"/>
      <c r="K82" s="232" t="str">
        <f>IF(K78&lt;&gt;"",K78+K80,"")</f>
        <v/>
      </c>
      <c r="L82" s="233"/>
      <c r="M82" s="3"/>
      <c r="N82" s="3"/>
      <c r="O82" s="160"/>
      <c r="P82" s="208"/>
      <c r="Q82" s="208"/>
      <c r="R82" s="208"/>
      <c r="S82" s="160"/>
      <c r="T82" s="160"/>
      <c r="U82" s="160"/>
      <c r="V82" s="160"/>
      <c r="W82" s="160"/>
      <c r="X82" s="160"/>
      <c r="Y82" s="160"/>
      <c r="Z82" s="160"/>
    </row>
    <row r="83" spans="1:26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160"/>
      <c r="O83" s="208"/>
      <c r="P83" s="208"/>
      <c r="Q83" s="208"/>
      <c r="R83" s="160"/>
      <c r="S83" s="160"/>
      <c r="T83" s="160"/>
      <c r="U83" s="160"/>
      <c r="V83" s="160"/>
      <c r="W83" s="160"/>
      <c r="X83" s="160"/>
      <c r="Y83" s="160"/>
    </row>
    <row r="84" spans="1:26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160"/>
      <c r="O84" s="208"/>
      <c r="P84" s="208"/>
      <c r="Q84" s="208"/>
      <c r="R84" s="160"/>
      <c r="S84" s="160"/>
      <c r="T84" s="160"/>
      <c r="U84" s="160"/>
      <c r="V84" s="160"/>
      <c r="W84" s="160"/>
      <c r="X84" s="160"/>
      <c r="Y84" s="160"/>
    </row>
    <row r="85" spans="1:26" ht="15.75">
      <c r="A85" s="3"/>
      <c r="B85" s="759" t="s">
        <v>170</v>
      </c>
      <c r="C85" s="759"/>
      <c r="D85" s="759"/>
      <c r="E85" s="759"/>
      <c r="F85" s="759"/>
      <c r="G85" s="759"/>
      <c r="H85" s="759"/>
      <c r="I85" s="759"/>
      <c r="J85" s="759"/>
      <c r="K85" s="759"/>
      <c r="L85" s="3"/>
      <c r="M85" s="3"/>
      <c r="N85" s="160"/>
      <c r="O85" s="208"/>
      <c r="P85" s="208"/>
      <c r="Q85" s="208"/>
      <c r="R85" s="160"/>
      <c r="S85" s="160"/>
      <c r="T85" s="160"/>
      <c r="U85" s="160"/>
      <c r="V85" s="160"/>
      <c r="W85" s="160"/>
      <c r="X85" s="160"/>
      <c r="Y85" s="160"/>
    </row>
    <row r="86" spans="1:26">
      <c r="A86" s="3"/>
      <c r="B86" s="221"/>
      <c r="C86" s="221"/>
      <c r="D86" s="221"/>
      <c r="E86" s="221"/>
      <c r="F86" s="221"/>
      <c r="G86" s="221"/>
      <c r="H86" s="221"/>
      <c r="I86" s="221"/>
      <c r="J86" s="221"/>
      <c r="K86" s="221"/>
      <c r="L86" s="4"/>
      <c r="M86" s="3"/>
      <c r="N86" s="160"/>
      <c r="O86" s="208"/>
      <c r="P86" s="208"/>
      <c r="Q86" s="208"/>
      <c r="R86" s="160"/>
      <c r="S86" s="160"/>
      <c r="T86" s="160"/>
      <c r="U86" s="160"/>
      <c r="V86" s="160"/>
      <c r="W86" s="160"/>
      <c r="X86" s="160"/>
      <c r="Y86" s="160"/>
    </row>
    <row r="87" spans="1:26">
      <c r="A87" s="3"/>
      <c r="B87" s="3"/>
      <c r="C87" s="3"/>
      <c r="D87" s="3"/>
      <c r="E87" s="3"/>
      <c r="F87" s="3"/>
      <c r="G87" s="760" t="s">
        <v>171</v>
      </c>
      <c r="H87" s="760"/>
      <c r="I87" s="760"/>
      <c r="J87" s="760"/>
      <c r="K87" s="761" t="s">
        <v>166</v>
      </c>
      <c r="L87" s="222"/>
      <c r="M87" s="3"/>
      <c r="N87" s="3"/>
      <c r="O87" s="160"/>
      <c r="P87" s="208"/>
      <c r="Q87" s="208"/>
      <c r="R87" s="208"/>
      <c r="S87" s="160"/>
      <c r="T87" s="160"/>
      <c r="U87" s="160"/>
      <c r="V87" s="160"/>
      <c r="W87" s="160"/>
      <c r="X87" s="160"/>
      <c r="Y87" s="160"/>
      <c r="Z87" s="160"/>
    </row>
    <row r="88" spans="1:26">
      <c r="A88" s="3"/>
      <c r="B88" s="3"/>
      <c r="C88" s="3"/>
      <c r="D88" s="3"/>
      <c r="E88" s="3"/>
      <c r="F88" s="3"/>
      <c r="G88" s="760">
        <v>0</v>
      </c>
      <c r="H88" s="760"/>
      <c r="I88" s="760">
        <v>1</v>
      </c>
      <c r="J88" s="760"/>
      <c r="K88" s="762"/>
      <c r="L88" s="222"/>
      <c r="M88" s="3"/>
      <c r="N88" s="3"/>
      <c r="O88" s="160"/>
      <c r="P88" s="208"/>
      <c r="Q88" s="208"/>
      <c r="R88" s="208"/>
      <c r="S88" s="160"/>
      <c r="T88" s="160"/>
      <c r="U88" s="160"/>
      <c r="V88" s="160"/>
      <c r="W88" s="160"/>
      <c r="X88" s="160"/>
      <c r="Y88" s="160"/>
      <c r="Z88" s="160"/>
    </row>
    <row r="89" spans="1:26">
      <c r="A89" s="3"/>
      <c r="B89" s="763" t="s">
        <v>118</v>
      </c>
      <c r="C89" s="223">
        <v>0</v>
      </c>
      <c r="D89" s="224" t="s">
        <v>168</v>
      </c>
      <c r="E89" s="225"/>
      <c r="F89" s="226"/>
      <c r="G89" s="772">
        <f>COUNTIF($S$13:$U$66,"=a")</f>
        <v>0</v>
      </c>
      <c r="H89" s="773"/>
      <c r="I89" s="772">
        <f>COUNTIF($S$13:$U$66,"=c")</f>
        <v>0</v>
      </c>
      <c r="J89" s="773"/>
      <c r="K89" s="227">
        <f>SUM(G89:J89)</f>
        <v>0</v>
      </c>
      <c r="L89" s="4"/>
      <c r="M89" s="3"/>
      <c r="N89" s="3"/>
      <c r="O89" s="160"/>
      <c r="P89" s="208"/>
      <c r="Q89" s="208"/>
      <c r="R89" s="208"/>
      <c r="S89" s="160"/>
      <c r="T89" s="160"/>
      <c r="U89" s="160"/>
      <c r="V89" s="160"/>
      <c r="W89" s="160"/>
      <c r="X89" s="160"/>
      <c r="Y89" s="160"/>
      <c r="Z89" s="160"/>
    </row>
    <row r="90" spans="1:26">
      <c r="A90" s="3"/>
      <c r="B90" s="763"/>
      <c r="C90" s="228"/>
      <c r="D90" s="229" t="s">
        <v>169</v>
      </c>
      <c r="E90" s="230"/>
      <c r="F90" s="231"/>
      <c r="G90" s="766" t="str">
        <f>IF(K93&lt;&gt;0,K89/K93*G93,"")</f>
        <v/>
      </c>
      <c r="H90" s="767"/>
      <c r="I90" s="766" t="str">
        <f>IF(K93&lt;&gt;0,K89/K93*I93,"")</f>
        <v/>
      </c>
      <c r="J90" s="767"/>
      <c r="K90" s="232" t="str">
        <f>IF(G90&lt;&gt;"",G90+I90,"")</f>
        <v/>
      </c>
      <c r="L90" s="233"/>
      <c r="M90" s="3"/>
      <c r="N90" s="3"/>
      <c r="O90" s="160"/>
      <c r="P90" s="208"/>
      <c r="Q90" s="208"/>
      <c r="R90" s="208"/>
      <c r="S90" s="160"/>
      <c r="T90" s="160"/>
      <c r="U90" s="160"/>
      <c r="V90" s="160"/>
      <c r="W90" s="160"/>
      <c r="X90" s="160"/>
      <c r="Y90" s="160"/>
      <c r="Z90" s="160"/>
    </row>
    <row r="91" spans="1:26">
      <c r="A91" s="3"/>
      <c r="B91" s="763"/>
      <c r="C91" s="223">
        <v>1</v>
      </c>
      <c r="D91" s="224" t="s">
        <v>168</v>
      </c>
      <c r="E91" s="225"/>
      <c r="F91" s="226"/>
      <c r="G91" s="772">
        <f>COUNTIF($S$13:$U$66,"=b")</f>
        <v>0</v>
      </c>
      <c r="H91" s="773"/>
      <c r="I91" s="772">
        <f>COUNTIF($S$13:$U$66,"=d")</f>
        <v>0</v>
      </c>
      <c r="J91" s="773"/>
      <c r="K91" s="227">
        <f>SUM(G91:J91)</f>
        <v>0</v>
      </c>
      <c r="L91" s="4"/>
      <c r="M91" s="3"/>
      <c r="N91" s="3"/>
      <c r="O91" s="160"/>
      <c r="P91" s="208"/>
      <c r="Q91" s="208"/>
      <c r="R91" s="208"/>
      <c r="S91" s="160"/>
      <c r="T91" s="160"/>
      <c r="U91" s="160"/>
      <c r="V91" s="160"/>
      <c r="W91" s="160"/>
      <c r="X91" s="160"/>
      <c r="Y91" s="160"/>
      <c r="Z91" s="160"/>
    </row>
    <row r="92" spans="1:26">
      <c r="A92" s="3"/>
      <c r="B92" s="763"/>
      <c r="C92" s="228"/>
      <c r="D92" s="229" t="s">
        <v>169</v>
      </c>
      <c r="E92" s="230"/>
      <c r="F92" s="231"/>
      <c r="G92" s="766" t="str">
        <f>IF(K93&lt;&gt;0,K91/K93*G93,"")</f>
        <v/>
      </c>
      <c r="H92" s="767"/>
      <c r="I92" s="766" t="str">
        <f>IF(K93&lt;&gt;0,K91/K93*I93,"")</f>
        <v/>
      </c>
      <c r="J92" s="767"/>
      <c r="K92" s="232" t="str">
        <f>IF(G92&lt;&gt;"",G92+I92,"")</f>
        <v/>
      </c>
      <c r="L92" s="233"/>
      <c r="M92" s="3"/>
      <c r="N92" s="3"/>
      <c r="O92" s="160"/>
      <c r="P92" s="208"/>
      <c r="Q92" s="208"/>
      <c r="R92" s="208"/>
      <c r="S92" s="160"/>
      <c r="T92" s="160"/>
      <c r="U92" s="160"/>
      <c r="V92" s="160"/>
      <c r="W92" s="160"/>
      <c r="X92" s="160"/>
      <c r="Y92" s="160"/>
      <c r="Z92" s="160"/>
    </row>
    <row r="93" spans="1:26">
      <c r="A93" s="3"/>
      <c r="B93" s="768" t="s">
        <v>166</v>
      </c>
      <c r="C93" s="769"/>
      <c r="D93" s="224" t="s">
        <v>168</v>
      </c>
      <c r="E93" s="225"/>
      <c r="F93" s="226"/>
      <c r="G93" s="764">
        <f>G89+G91</f>
        <v>0</v>
      </c>
      <c r="H93" s="765"/>
      <c r="I93" s="764">
        <f>I89+I91</f>
        <v>0</v>
      </c>
      <c r="J93" s="765"/>
      <c r="K93" s="227">
        <f>K89+K91</f>
        <v>0</v>
      </c>
      <c r="L93" s="4"/>
      <c r="M93" s="3"/>
      <c r="N93" s="3"/>
      <c r="O93" s="160"/>
      <c r="P93" s="208"/>
      <c r="Q93" s="208"/>
      <c r="R93" s="208"/>
      <c r="S93" s="160"/>
      <c r="T93" s="160"/>
      <c r="U93" s="160"/>
      <c r="V93" s="160"/>
      <c r="W93" s="160"/>
      <c r="X93" s="160"/>
      <c r="Y93" s="160"/>
      <c r="Z93" s="160"/>
    </row>
    <row r="94" spans="1:26">
      <c r="A94" s="3"/>
      <c r="B94" s="770"/>
      <c r="C94" s="771"/>
      <c r="D94" s="229" t="s">
        <v>169</v>
      </c>
      <c r="E94" s="230"/>
      <c r="F94" s="231"/>
      <c r="G94" s="766" t="str">
        <f>IF(G90&lt;&gt;"",G90+G92,"")</f>
        <v/>
      </c>
      <c r="H94" s="767"/>
      <c r="I94" s="766" t="str">
        <f>IF(I90&lt;&gt;"",I90+I92,"")</f>
        <v/>
      </c>
      <c r="J94" s="767"/>
      <c r="K94" s="232" t="str">
        <f>IF(K90&lt;&gt;"",K90+K92,"")</f>
        <v/>
      </c>
      <c r="L94" s="233"/>
      <c r="M94" s="3"/>
      <c r="N94" s="3"/>
      <c r="O94" s="160"/>
      <c r="P94" s="208"/>
      <c r="Q94" s="208"/>
      <c r="R94" s="208"/>
      <c r="S94" s="160"/>
      <c r="T94" s="160"/>
      <c r="U94" s="160"/>
      <c r="V94" s="160"/>
      <c r="W94" s="160"/>
      <c r="X94" s="160"/>
      <c r="Y94" s="160"/>
      <c r="Z94" s="160"/>
    </row>
    <row r="95" spans="1:26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4"/>
      <c r="M95" s="3"/>
      <c r="N95" s="160"/>
      <c r="O95" s="208"/>
      <c r="P95" s="208"/>
      <c r="Q95" s="208"/>
      <c r="R95" s="160"/>
      <c r="S95" s="160"/>
      <c r="T95" s="160"/>
      <c r="U95" s="160"/>
      <c r="V95" s="160"/>
      <c r="W95" s="160"/>
      <c r="X95" s="160"/>
      <c r="Y95" s="160"/>
    </row>
    <row r="96" spans="1:26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4"/>
      <c r="M96" s="3"/>
      <c r="N96" s="160"/>
      <c r="O96" s="208"/>
      <c r="P96" s="208"/>
      <c r="Q96" s="208"/>
      <c r="R96" s="160"/>
      <c r="S96" s="160"/>
      <c r="T96" s="160"/>
      <c r="U96" s="160"/>
      <c r="V96" s="160"/>
      <c r="W96" s="160"/>
      <c r="X96" s="160"/>
      <c r="Y96" s="160"/>
    </row>
    <row r="97" spans="1: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4"/>
      <c r="M97" s="3"/>
      <c r="N97" s="160"/>
      <c r="O97" s="208"/>
      <c r="P97" s="208"/>
      <c r="Q97" s="208"/>
      <c r="R97" s="160"/>
      <c r="S97" s="160"/>
      <c r="T97" s="160"/>
      <c r="U97" s="160"/>
      <c r="V97" s="160"/>
      <c r="W97" s="160"/>
      <c r="X97" s="160"/>
      <c r="Y97" s="160"/>
    </row>
    <row r="98" spans="1:25" ht="15.75">
      <c r="A98" s="3"/>
      <c r="B98" s="759" t="s">
        <v>172</v>
      </c>
      <c r="C98" s="759"/>
      <c r="D98" s="759"/>
      <c r="E98" s="759"/>
      <c r="F98" s="759"/>
      <c r="G98" s="759"/>
      <c r="H98" s="759"/>
      <c r="I98" s="759"/>
      <c r="J98" s="759"/>
      <c r="K98" s="759"/>
      <c r="L98" s="4"/>
      <c r="M98" s="3"/>
      <c r="N98" s="160"/>
      <c r="O98" s="208"/>
      <c r="P98" s="208"/>
      <c r="Q98" s="208"/>
      <c r="R98" s="160"/>
      <c r="S98" s="160"/>
      <c r="T98" s="160"/>
      <c r="U98" s="160"/>
      <c r="V98" s="160"/>
      <c r="W98" s="160"/>
      <c r="X98" s="160"/>
      <c r="Y98" s="160"/>
    </row>
    <row r="99" spans="1:25">
      <c r="A99" s="3"/>
      <c r="B99" s="221"/>
      <c r="C99" s="221"/>
      <c r="D99" s="221"/>
      <c r="E99" s="221"/>
      <c r="F99" s="221"/>
      <c r="G99" s="221"/>
      <c r="H99" s="221"/>
      <c r="I99" s="221"/>
      <c r="J99" s="221"/>
      <c r="K99" s="221"/>
      <c r="L99" s="4"/>
      <c r="M99" s="3"/>
      <c r="N99" s="160"/>
      <c r="O99" s="208"/>
      <c r="P99" s="208"/>
      <c r="Q99" s="208"/>
      <c r="R99" s="160"/>
      <c r="S99" s="160"/>
      <c r="T99" s="160"/>
      <c r="U99" s="160"/>
      <c r="V99" s="160"/>
      <c r="W99" s="160"/>
      <c r="X99" s="160"/>
      <c r="Y99" s="160"/>
    </row>
  </sheetData>
  <mergeCells count="54">
    <mergeCell ref="B98:K98"/>
    <mergeCell ref="O2:AA2"/>
    <mergeCell ref="B93:C94"/>
    <mergeCell ref="G93:H93"/>
    <mergeCell ref="I93:J93"/>
    <mergeCell ref="G94:H94"/>
    <mergeCell ref="I94:J94"/>
    <mergeCell ref="B89:B92"/>
    <mergeCell ref="G92:H92"/>
    <mergeCell ref="I92:J92"/>
    <mergeCell ref="G91:H91"/>
    <mergeCell ref="G89:H89"/>
    <mergeCell ref="I91:J91"/>
    <mergeCell ref="B85:K85"/>
    <mergeCell ref="G87:J87"/>
    <mergeCell ref="K87:K88"/>
    <mergeCell ref="G88:H88"/>
    <mergeCell ref="I88:J88"/>
    <mergeCell ref="B81:C82"/>
    <mergeCell ref="G81:H81"/>
    <mergeCell ref="I81:J81"/>
    <mergeCell ref="G82:H82"/>
    <mergeCell ref="I82:J82"/>
    <mergeCell ref="G90:H90"/>
    <mergeCell ref="I90:J90"/>
    <mergeCell ref="I89:J89"/>
    <mergeCell ref="B77:B80"/>
    <mergeCell ref="G77:H77"/>
    <mergeCell ref="I77:J77"/>
    <mergeCell ref="G78:H78"/>
    <mergeCell ref="I78:J78"/>
    <mergeCell ref="G79:H79"/>
    <mergeCell ref="I79:J79"/>
    <mergeCell ref="G80:H80"/>
    <mergeCell ref="I80:J80"/>
    <mergeCell ref="A55:M55"/>
    <mergeCell ref="K9:M9"/>
    <mergeCell ref="B73:K73"/>
    <mergeCell ref="G75:J75"/>
    <mergeCell ref="K75:K76"/>
    <mergeCell ref="G76:H76"/>
    <mergeCell ref="I76:J76"/>
    <mergeCell ref="A9:D9"/>
    <mergeCell ref="E5:G5"/>
    <mergeCell ref="E7:G7"/>
    <mergeCell ref="E9:G9"/>
    <mergeCell ref="H9:J9"/>
    <mergeCell ref="A11:M11"/>
    <mergeCell ref="H5:J5"/>
    <mergeCell ref="H7:J7"/>
    <mergeCell ref="K5:M5"/>
    <mergeCell ref="K7:M7"/>
    <mergeCell ref="A5:D5"/>
    <mergeCell ref="A7:D7"/>
  </mergeCells>
  <phoneticPr fontId="10" type="noConversion"/>
  <pageMargins left="0.75" right="0.75" top="1" bottom="1" header="0.5" footer="0.5"/>
  <pageSetup orientation="landscape" verticalDpi="0" r:id="rId1"/>
  <headerFooter alignWithMargins="0"/>
  <ignoredErrors>
    <ignoredError sqref="M13" formulaRange="1"/>
    <ignoredError sqref="K78 K90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21AAF-0984-4AFE-A572-167978C5DFD7}">
  <dimension ref="A1:M40"/>
  <sheetViews>
    <sheetView workbookViewId="0"/>
  </sheetViews>
  <sheetFormatPr defaultRowHeight="12.75"/>
  <sheetData>
    <row r="1" spans="1:13" ht="18.75">
      <c r="D1" s="149" t="s">
        <v>210</v>
      </c>
      <c r="E1" s="149"/>
      <c r="F1" s="149"/>
    </row>
    <row r="2" spans="1:13" ht="13.5" thickBot="1"/>
    <row r="3" spans="1:13" ht="6" customHeight="1">
      <c r="A3" s="236"/>
      <c r="B3" s="237"/>
      <c r="C3" s="237"/>
      <c r="D3" s="237"/>
      <c r="E3" s="237"/>
      <c r="F3" s="237"/>
      <c r="G3" s="237"/>
      <c r="H3" s="237"/>
      <c r="I3" s="237"/>
      <c r="J3" s="237"/>
      <c r="K3" s="237"/>
      <c r="L3" s="237"/>
      <c r="M3" s="238"/>
    </row>
    <row r="4" spans="1:13">
      <c r="A4" s="239" t="s">
        <v>175</v>
      </c>
      <c r="B4" s="240" t="s">
        <v>176</v>
      </c>
      <c r="C4" s="241"/>
      <c r="D4" s="241"/>
      <c r="E4" s="241"/>
      <c r="F4" s="241"/>
      <c r="G4" s="241"/>
      <c r="H4" s="241"/>
      <c r="I4" s="241"/>
      <c r="J4" s="241"/>
      <c r="K4" s="241"/>
      <c r="L4" s="241"/>
      <c r="M4" s="242"/>
    </row>
    <row r="5" spans="1:13">
      <c r="A5" s="243" t="s">
        <v>177</v>
      </c>
      <c r="B5" s="240" t="s">
        <v>178</v>
      </c>
      <c r="C5" s="241"/>
      <c r="D5" s="241"/>
      <c r="E5" s="241"/>
      <c r="F5" s="241"/>
      <c r="G5" s="241"/>
      <c r="H5" s="241"/>
      <c r="I5" s="241"/>
      <c r="J5" s="241"/>
      <c r="K5" s="241"/>
      <c r="L5" s="241"/>
      <c r="M5" s="242"/>
    </row>
    <row r="6" spans="1:13" ht="6" customHeight="1">
      <c r="A6" s="244"/>
      <c r="B6" s="241"/>
      <c r="C6" s="241"/>
      <c r="D6" s="241"/>
      <c r="E6" s="241"/>
      <c r="F6" s="241"/>
      <c r="G6" s="241"/>
      <c r="H6" s="241"/>
      <c r="I6" s="241"/>
      <c r="J6" s="241"/>
      <c r="K6" s="241"/>
      <c r="L6" s="241"/>
      <c r="M6" s="242"/>
    </row>
    <row r="7" spans="1:13">
      <c r="A7" s="239" t="s">
        <v>179</v>
      </c>
      <c r="B7" s="511" t="s">
        <v>567</v>
      </c>
      <c r="C7" s="512"/>
      <c r="D7" s="512"/>
      <c r="E7" s="512"/>
      <c r="F7" s="512"/>
      <c r="G7" s="512"/>
      <c r="H7" s="240" t="s">
        <v>180</v>
      </c>
      <c r="I7" s="241"/>
      <c r="J7" s="241"/>
      <c r="K7" s="241"/>
      <c r="L7" s="241"/>
      <c r="M7" s="242"/>
    </row>
    <row r="8" spans="1:13" ht="6" customHeight="1">
      <c r="A8" s="244"/>
      <c r="B8" s="241"/>
      <c r="C8" s="241"/>
      <c r="D8" s="241"/>
      <c r="E8" s="241"/>
      <c r="F8" s="241"/>
      <c r="G8" s="241"/>
      <c r="H8" s="241"/>
      <c r="I8" s="241"/>
      <c r="J8" s="241"/>
      <c r="K8" s="241"/>
      <c r="L8" s="241"/>
      <c r="M8" s="242"/>
    </row>
    <row r="9" spans="1:13">
      <c r="A9" s="239" t="s">
        <v>181</v>
      </c>
      <c r="B9" s="240" t="s">
        <v>182</v>
      </c>
      <c r="C9" s="241"/>
      <c r="D9" s="241"/>
      <c r="E9" s="241"/>
      <c r="F9" s="241"/>
      <c r="G9" s="241"/>
      <c r="H9" s="241"/>
      <c r="I9" s="241"/>
      <c r="J9" s="241"/>
      <c r="K9" s="241"/>
      <c r="L9" s="241"/>
      <c r="M9" s="242"/>
    </row>
    <row r="10" spans="1:13">
      <c r="A10" s="243" t="s">
        <v>183</v>
      </c>
      <c r="B10" s="240" t="s">
        <v>568</v>
      </c>
      <c r="C10" s="241"/>
      <c r="D10" s="241"/>
      <c r="E10" s="241"/>
      <c r="F10" s="241"/>
      <c r="G10" s="241"/>
      <c r="H10" s="241"/>
      <c r="I10" s="241"/>
      <c r="J10" s="241"/>
      <c r="K10" s="241"/>
      <c r="L10" s="241"/>
      <c r="M10" s="242"/>
    </row>
    <row r="11" spans="1:13">
      <c r="A11" s="243" t="s">
        <v>183</v>
      </c>
      <c r="B11" s="240" t="s">
        <v>184</v>
      </c>
      <c r="C11" s="241"/>
      <c r="D11" s="241"/>
      <c r="E11" s="241"/>
      <c r="F11" s="241"/>
      <c r="G11" s="241"/>
      <c r="H11" s="241"/>
      <c r="I11" s="241"/>
      <c r="J11" s="241"/>
      <c r="K11" s="241"/>
      <c r="L11" s="241"/>
      <c r="M11" s="242"/>
    </row>
    <row r="12" spans="1:13" ht="6" customHeight="1">
      <c r="A12" s="243"/>
      <c r="B12" s="241"/>
      <c r="C12" s="241"/>
      <c r="D12" s="241"/>
      <c r="E12" s="241"/>
      <c r="F12" s="241"/>
      <c r="G12" s="241"/>
      <c r="H12" s="241"/>
      <c r="I12" s="241"/>
      <c r="J12" s="241"/>
      <c r="K12" s="241"/>
      <c r="L12" s="241"/>
      <c r="M12" s="242"/>
    </row>
    <row r="13" spans="1:13">
      <c r="A13" s="239" t="s">
        <v>185</v>
      </c>
      <c r="B13" s="240" t="s">
        <v>186</v>
      </c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2"/>
    </row>
    <row r="14" spans="1:13">
      <c r="A14" s="243" t="s">
        <v>187</v>
      </c>
      <c r="B14" s="246" t="s">
        <v>188</v>
      </c>
      <c r="C14" s="241"/>
      <c r="D14" s="241"/>
      <c r="E14" s="241"/>
      <c r="F14" s="241"/>
      <c r="G14" s="241"/>
      <c r="H14" s="241"/>
      <c r="I14" s="241"/>
      <c r="J14" s="241"/>
      <c r="K14" s="241"/>
      <c r="L14" s="241"/>
      <c r="M14" s="242"/>
    </row>
    <row r="15" spans="1:13">
      <c r="A15" s="243"/>
      <c r="B15" s="246" t="s">
        <v>189</v>
      </c>
      <c r="C15" s="241"/>
      <c r="D15" s="241"/>
      <c r="E15" s="241"/>
      <c r="F15" s="241"/>
      <c r="G15" s="241"/>
      <c r="H15" s="241"/>
      <c r="I15" s="241"/>
      <c r="J15" s="241"/>
      <c r="K15" s="241"/>
      <c r="L15" s="241"/>
      <c r="M15" s="242"/>
    </row>
    <row r="16" spans="1:13" ht="6" customHeight="1">
      <c r="A16" s="243"/>
      <c r="B16" s="241"/>
      <c r="C16" s="241"/>
      <c r="D16" s="241"/>
      <c r="E16" s="241"/>
      <c r="F16" s="241"/>
      <c r="G16" s="241"/>
      <c r="H16" s="241"/>
      <c r="I16" s="241"/>
      <c r="J16" s="241"/>
      <c r="K16" s="241"/>
      <c r="L16" s="241"/>
      <c r="M16" s="242"/>
    </row>
    <row r="17" spans="1:13">
      <c r="A17" s="239" t="s">
        <v>190</v>
      </c>
      <c r="B17" s="240" t="s">
        <v>191</v>
      </c>
      <c r="C17" s="241"/>
      <c r="D17" s="241"/>
      <c r="E17" s="241"/>
      <c r="F17" s="241"/>
      <c r="G17" s="241"/>
      <c r="H17" s="241"/>
      <c r="I17" s="241"/>
      <c r="J17" s="241"/>
      <c r="K17" s="241"/>
      <c r="L17" s="241"/>
      <c r="M17" s="242"/>
    </row>
    <row r="18" spans="1:13">
      <c r="A18" s="243" t="s">
        <v>183</v>
      </c>
      <c r="B18" s="240" t="s">
        <v>192</v>
      </c>
      <c r="C18" s="241"/>
      <c r="D18" s="241"/>
      <c r="E18" s="241"/>
      <c r="F18" s="241"/>
      <c r="G18" s="241"/>
      <c r="H18" s="241"/>
      <c r="I18" s="241"/>
      <c r="J18" s="241"/>
      <c r="K18" s="241"/>
      <c r="L18" s="241"/>
      <c r="M18" s="242"/>
    </row>
    <row r="19" spans="1:13" ht="6" customHeight="1">
      <c r="A19" s="244"/>
      <c r="B19" s="241"/>
      <c r="C19" s="241"/>
      <c r="D19" s="241"/>
      <c r="E19" s="241"/>
      <c r="F19" s="241"/>
      <c r="G19" s="241"/>
      <c r="H19" s="241"/>
      <c r="I19" s="241"/>
      <c r="J19" s="241"/>
      <c r="K19" s="241"/>
      <c r="L19" s="241"/>
      <c r="M19" s="242"/>
    </row>
    <row r="20" spans="1:13">
      <c r="A20" s="239" t="s">
        <v>193</v>
      </c>
      <c r="B20" s="240" t="s">
        <v>194</v>
      </c>
      <c r="C20" s="241"/>
      <c r="D20" s="241"/>
      <c r="E20" s="241"/>
      <c r="F20" s="241"/>
      <c r="G20" s="241"/>
      <c r="H20" s="241"/>
      <c r="I20" s="241"/>
      <c r="J20" s="241"/>
      <c r="K20" s="241"/>
      <c r="L20" s="241"/>
      <c r="M20" s="242"/>
    </row>
    <row r="21" spans="1:13">
      <c r="A21" s="243" t="s">
        <v>183</v>
      </c>
      <c r="B21" s="240" t="s">
        <v>195</v>
      </c>
      <c r="C21" s="241"/>
      <c r="D21" s="241"/>
      <c r="E21" s="241"/>
      <c r="F21" s="241"/>
      <c r="G21" s="241"/>
      <c r="H21" s="241"/>
      <c r="I21" s="241"/>
      <c r="J21" s="241"/>
      <c r="K21" s="241"/>
      <c r="L21" s="241"/>
      <c r="M21" s="242"/>
    </row>
    <row r="22" spans="1:13" ht="6" customHeight="1">
      <c r="A22" s="244"/>
      <c r="B22" s="241"/>
      <c r="C22" s="241"/>
      <c r="D22" s="241"/>
      <c r="E22" s="241"/>
      <c r="F22" s="241"/>
      <c r="G22" s="241"/>
      <c r="H22" s="241"/>
      <c r="I22" s="241"/>
      <c r="J22" s="241"/>
      <c r="K22" s="241"/>
      <c r="L22" s="241"/>
      <c r="M22" s="242"/>
    </row>
    <row r="23" spans="1:13">
      <c r="A23" s="239" t="s">
        <v>196</v>
      </c>
      <c r="B23" s="240" t="s">
        <v>197</v>
      </c>
      <c r="C23" s="241"/>
      <c r="D23" s="241"/>
      <c r="E23" s="241"/>
      <c r="F23" s="241"/>
      <c r="G23" s="241"/>
      <c r="H23" s="241"/>
      <c r="I23" s="241"/>
      <c r="J23" s="241"/>
      <c r="K23" s="241"/>
      <c r="L23" s="241"/>
      <c r="M23" s="242"/>
    </row>
    <row r="24" spans="1:13">
      <c r="A24" s="243" t="s">
        <v>198</v>
      </c>
      <c r="B24" s="240" t="s">
        <v>199</v>
      </c>
      <c r="C24" s="241"/>
      <c r="D24" s="241"/>
      <c r="E24" s="241"/>
      <c r="F24" s="241"/>
      <c r="G24" s="241"/>
      <c r="H24" s="241"/>
      <c r="I24" s="241"/>
      <c r="J24" s="241"/>
      <c r="K24" s="241"/>
      <c r="L24" s="241"/>
      <c r="M24" s="242"/>
    </row>
    <row r="25" spans="1:13">
      <c r="A25" s="243" t="s">
        <v>187</v>
      </c>
      <c r="B25" s="240" t="s">
        <v>200</v>
      </c>
      <c r="C25" s="241"/>
      <c r="D25" s="241"/>
      <c r="E25" s="241"/>
      <c r="F25" s="241"/>
      <c r="G25" s="241"/>
      <c r="H25" s="241"/>
      <c r="I25" s="241"/>
      <c r="J25" s="241"/>
      <c r="K25" s="241"/>
      <c r="L25" s="241"/>
      <c r="M25" s="242"/>
    </row>
    <row r="26" spans="1:13">
      <c r="A26" s="243" t="s">
        <v>183</v>
      </c>
      <c r="B26" s="240" t="s">
        <v>569</v>
      </c>
      <c r="C26" s="241"/>
      <c r="D26" s="241"/>
      <c r="E26" s="245"/>
      <c r="F26" s="240"/>
      <c r="G26" s="241"/>
      <c r="H26" s="241"/>
      <c r="I26" s="241"/>
      <c r="J26" s="241"/>
      <c r="K26" s="241"/>
      <c r="L26" s="241"/>
      <c r="M26" s="242"/>
    </row>
    <row r="27" spans="1:13">
      <c r="A27" s="243" t="s">
        <v>201</v>
      </c>
      <c r="B27" s="240" t="s">
        <v>570</v>
      </c>
      <c r="C27" s="241"/>
      <c r="D27" s="241"/>
      <c r="E27" s="241"/>
      <c r="F27" s="241"/>
      <c r="G27" s="245"/>
      <c r="H27" s="241"/>
      <c r="I27" s="1"/>
      <c r="J27" s="241"/>
      <c r="K27" s="241"/>
      <c r="L27" s="241"/>
      <c r="M27" s="242"/>
    </row>
    <row r="28" spans="1:13" ht="6" customHeight="1">
      <c r="A28" s="244"/>
      <c r="B28" s="241"/>
      <c r="C28" s="241"/>
      <c r="D28" s="241"/>
      <c r="E28" s="241"/>
      <c r="F28" s="241"/>
      <c r="G28" s="241"/>
      <c r="H28" s="241"/>
      <c r="I28" s="241"/>
      <c r="J28" s="241"/>
      <c r="K28" s="241"/>
      <c r="L28" s="241"/>
      <c r="M28" s="242"/>
    </row>
    <row r="29" spans="1:13">
      <c r="A29" s="239" t="s">
        <v>202</v>
      </c>
      <c r="B29" s="240" t="s">
        <v>571</v>
      </c>
      <c r="C29" s="241"/>
      <c r="D29" s="241"/>
      <c r="E29" s="241"/>
      <c r="F29" s="241"/>
      <c r="G29" s="241"/>
      <c r="H29" s="241"/>
      <c r="I29" s="241"/>
      <c r="J29" s="241"/>
      <c r="K29" s="241"/>
      <c r="L29" s="241"/>
      <c r="M29" s="242"/>
    </row>
    <row r="30" spans="1:13">
      <c r="A30" s="244" t="s">
        <v>183</v>
      </c>
      <c r="B30" s="240" t="s">
        <v>203</v>
      </c>
      <c r="C30" s="241"/>
      <c r="D30" s="241"/>
      <c r="E30" s="241"/>
      <c r="F30" s="241"/>
      <c r="G30" s="241"/>
      <c r="H30" s="241"/>
      <c r="I30" s="241"/>
      <c r="J30" s="241"/>
      <c r="K30" s="241"/>
      <c r="L30" s="241"/>
      <c r="M30" s="242"/>
    </row>
    <row r="31" spans="1:13">
      <c r="A31" s="244" t="s">
        <v>183</v>
      </c>
      <c r="B31" s="240" t="s">
        <v>572</v>
      </c>
      <c r="C31" s="241"/>
      <c r="D31" s="241"/>
      <c r="E31" s="241"/>
      <c r="F31" s="241"/>
      <c r="G31" s="241"/>
      <c r="H31" s="241"/>
      <c r="I31" s="241"/>
      <c r="J31" s="241"/>
      <c r="K31" s="241"/>
      <c r="L31" s="241"/>
      <c r="M31" s="242"/>
    </row>
    <row r="32" spans="1:13" ht="6" customHeight="1">
      <c r="A32" s="244"/>
      <c r="B32" s="241"/>
      <c r="C32" s="241"/>
      <c r="D32" s="241"/>
      <c r="E32" s="241"/>
      <c r="F32" s="241"/>
      <c r="G32" s="241"/>
      <c r="H32" s="241"/>
      <c r="I32" s="241"/>
      <c r="J32" s="241"/>
      <c r="K32" s="241"/>
      <c r="L32" s="241"/>
      <c r="M32" s="242"/>
    </row>
    <row r="33" spans="1:13">
      <c r="A33" s="239" t="s">
        <v>204</v>
      </c>
      <c r="B33" s="240" t="s">
        <v>205</v>
      </c>
      <c r="C33" s="241"/>
      <c r="D33" s="241"/>
      <c r="E33" s="241"/>
      <c r="F33" s="241"/>
      <c r="G33" s="241"/>
      <c r="H33" s="241"/>
      <c r="I33" s="241"/>
      <c r="J33" s="241"/>
      <c r="K33" s="241"/>
      <c r="L33" s="241"/>
      <c r="M33" s="242"/>
    </row>
    <row r="34" spans="1:13" ht="6" customHeight="1">
      <c r="A34" s="244"/>
      <c r="B34" s="241"/>
      <c r="C34" s="241"/>
      <c r="D34" s="241"/>
      <c r="E34" s="241"/>
      <c r="F34" s="241"/>
      <c r="G34" s="241"/>
      <c r="H34" s="241"/>
      <c r="I34" s="241"/>
      <c r="J34" s="241"/>
      <c r="K34" s="241"/>
      <c r="L34" s="241"/>
      <c r="M34" s="242"/>
    </row>
    <row r="35" spans="1:13">
      <c r="A35" s="239" t="s">
        <v>206</v>
      </c>
      <c r="B35" s="240" t="s">
        <v>573</v>
      </c>
      <c r="C35" s="241"/>
      <c r="D35" s="241"/>
      <c r="E35" s="241"/>
      <c r="F35" s="241"/>
      <c r="G35" s="241"/>
      <c r="H35" s="241"/>
      <c r="I35" s="241"/>
      <c r="J35" s="241"/>
      <c r="K35" s="241"/>
      <c r="L35" s="241"/>
      <c r="M35" s="242"/>
    </row>
    <row r="36" spans="1:13">
      <c r="A36" s="239"/>
      <c r="B36" s="247" t="s">
        <v>207</v>
      </c>
      <c r="C36" s="241"/>
      <c r="D36" s="241"/>
      <c r="E36" s="241"/>
      <c r="F36" s="241"/>
      <c r="G36" s="241"/>
      <c r="H36" s="241"/>
      <c r="I36" s="241"/>
      <c r="J36" s="241"/>
      <c r="K36" s="241"/>
      <c r="L36" s="241"/>
      <c r="M36" s="242"/>
    </row>
    <row r="37" spans="1:13">
      <c r="A37" s="239"/>
      <c r="B37" s="247" t="s">
        <v>574</v>
      </c>
      <c r="C37" s="241"/>
      <c r="D37" s="241"/>
      <c r="E37" s="241"/>
      <c r="F37" s="241"/>
      <c r="G37" s="241"/>
      <c r="H37" s="241"/>
      <c r="I37" s="241"/>
      <c r="J37" s="241"/>
      <c r="K37" s="241"/>
      <c r="L37" s="241"/>
      <c r="M37" s="242"/>
    </row>
    <row r="38" spans="1:13" ht="6" customHeight="1">
      <c r="A38" s="244"/>
      <c r="B38" s="241"/>
      <c r="C38" s="241"/>
      <c r="D38" s="241"/>
      <c r="E38" s="241"/>
      <c r="F38" s="241"/>
      <c r="G38" s="241"/>
      <c r="H38" s="241"/>
      <c r="I38" s="241"/>
      <c r="J38" s="241"/>
      <c r="K38" s="241"/>
      <c r="L38" s="241"/>
      <c r="M38" s="242"/>
    </row>
    <row r="39" spans="1:13">
      <c r="A39" s="239" t="s">
        <v>208</v>
      </c>
      <c r="B39" s="246" t="s">
        <v>575</v>
      </c>
      <c r="C39" s="241"/>
      <c r="D39" s="241"/>
      <c r="E39" s="241"/>
      <c r="F39" s="241"/>
      <c r="G39" s="241"/>
      <c r="H39" s="241"/>
      <c r="I39" s="241"/>
      <c r="J39" s="241"/>
      <c r="K39" s="241"/>
      <c r="L39" s="241"/>
      <c r="M39" s="242"/>
    </row>
    <row r="40" spans="1:13" ht="6" customHeight="1" thickBot="1">
      <c r="A40" s="248"/>
      <c r="B40" s="249"/>
      <c r="C40" s="249"/>
      <c r="D40" s="249"/>
      <c r="E40" s="249"/>
      <c r="F40" s="249"/>
      <c r="G40" s="249"/>
      <c r="H40" s="249"/>
      <c r="I40" s="249"/>
      <c r="J40" s="249"/>
      <c r="K40" s="249"/>
      <c r="L40" s="249"/>
      <c r="M40" s="250"/>
    </row>
  </sheetData>
  <phoneticPr fontId="10" type="noConversion"/>
  <pageMargins left="0.75" right="0.75" top="1" bottom="1" header="0.5" footer="0.5"/>
  <pageSetup orientation="landscape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8269F-BD9E-4141-87D8-E886212C7350}">
  <sheetPr>
    <pageSetUpPr fitToPage="1"/>
  </sheetPr>
  <dimension ref="A1:Z42"/>
  <sheetViews>
    <sheetView workbookViewId="0">
      <selection sqref="A1:N1"/>
    </sheetView>
  </sheetViews>
  <sheetFormatPr defaultRowHeight="12.75"/>
  <cols>
    <col min="1" max="1" width="7.5703125" customWidth="1"/>
    <col min="2" max="2" width="4.85546875" customWidth="1"/>
    <col min="3" max="3" width="7" customWidth="1"/>
    <col min="4" max="12" width="6.28515625" customWidth="1"/>
    <col min="13" max="13" width="5.28515625" customWidth="1"/>
    <col min="14" max="14" width="6.28515625" customWidth="1"/>
    <col min="15" max="16" width="7.7109375" customWidth="1"/>
    <col min="17" max="17" width="15.7109375" customWidth="1"/>
    <col min="18" max="21" width="7.7109375" customWidth="1"/>
    <col min="22" max="22" width="9.28515625" customWidth="1"/>
    <col min="23" max="23" width="8.28515625" customWidth="1"/>
    <col min="24" max="25" width="9.28515625" customWidth="1"/>
  </cols>
  <sheetData>
    <row r="1" spans="1:26" ht="18">
      <c r="A1" s="795" t="s">
        <v>482</v>
      </c>
      <c r="B1" s="795"/>
      <c r="C1" s="795"/>
      <c r="D1" s="795"/>
      <c r="E1" s="795"/>
      <c r="F1" s="795"/>
      <c r="G1" s="795"/>
      <c r="H1" s="795"/>
      <c r="I1" s="795"/>
      <c r="J1" s="795"/>
      <c r="K1" s="795"/>
      <c r="L1" s="795"/>
      <c r="M1" s="795"/>
      <c r="N1" s="795"/>
      <c r="O1" s="796" t="s">
        <v>482</v>
      </c>
      <c r="P1" s="797"/>
      <c r="Q1" s="797"/>
      <c r="R1" s="797"/>
      <c r="S1" s="797"/>
      <c r="T1" s="797"/>
      <c r="U1" s="797"/>
      <c r="V1" s="797"/>
      <c r="W1" s="797"/>
      <c r="X1" s="797"/>
      <c r="Y1" s="797"/>
    </row>
    <row r="2" spans="1:26" ht="18">
      <c r="A2" s="795" t="s">
        <v>483</v>
      </c>
      <c r="B2" s="795"/>
      <c r="C2" s="795"/>
      <c r="D2" s="795"/>
      <c r="E2" s="795"/>
      <c r="F2" s="795"/>
      <c r="G2" s="795"/>
      <c r="H2" s="795"/>
      <c r="I2" s="795"/>
      <c r="J2" s="795"/>
      <c r="K2" s="795"/>
      <c r="L2" s="795"/>
      <c r="M2" s="795"/>
      <c r="N2" s="795"/>
      <c r="O2" s="796" t="s">
        <v>483</v>
      </c>
      <c r="P2" s="797"/>
      <c r="Q2" s="797"/>
      <c r="R2" s="797"/>
      <c r="S2" s="797"/>
      <c r="T2" s="797"/>
      <c r="U2" s="797"/>
      <c r="V2" s="797"/>
      <c r="W2" s="797"/>
      <c r="X2" s="797"/>
      <c r="Y2" s="797"/>
    </row>
    <row r="3" spans="1:26" ht="13.5" thickBot="1">
      <c r="H3" s="122"/>
      <c r="I3" s="122"/>
      <c r="J3" s="122"/>
      <c r="K3" s="122"/>
      <c r="L3" s="122"/>
      <c r="M3" s="775"/>
      <c r="N3" s="775"/>
      <c r="O3" s="122"/>
      <c r="P3" s="122"/>
      <c r="Q3" s="122"/>
      <c r="R3" s="1"/>
      <c r="S3" s="1"/>
      <c r="T3" s="1"/>
      <c r="U3" s="1"/>
      <c r="V3" s="1"/>
      <c r="W3" s="1"/>
      <c r="X3" s="1"/>
      <c r="Y3" s="1"/>
    </row>
    <row r="4" spans="1:26" s="160" customFormat="1">
      <c r="D4" s="450" t="s">
        <v>37</v>
      </c>
      <c r="E4" s="342"/>
      <c r="F4" s="453"/>
      <c r="G4" s="453"/>
      <c r="H4" s="453"/>
      <c r="I4" s="453"/>
      <c r="J4" s="454"/>
      <c r="K4" s="212"/>
      <c r="L4" s="212"/>
      <c r="M4" s="212"/>
      <c r="N4" s="782" t="s">
        <v>556</v>
      </c>
      <c r="O4" s="783"/>
      <c r="P4" s="445"/>
      <c r="Q4" s="446"/>
      <c r="R4" s="216"/>
      <c r="S4" s="216"/>
      <c r="T4" s="216"/>
      <c r="U4" s="782" t="s">
        <v>141</v>
      </c>
      <c r="V4" s="798"/>
      <c r="W4" s="792" t="s">
        <v>563</v>
      </c>
      <c r="X4" s="793"/>
      <c r="Y4" s="794"/>
      <c r="Z4" s="296"/>
    </row>
    <row r="5" spans="1:26" ht="13.5" thickBot="1">
      <c r="D5" s="784" t="s">
        <v>559</v>
      </c>
      <c r="E5" s="785"/>
      <c r="F5" s="785"/>
      <c r="G5" s="785"/>
      <c r="H5" s="785"/>
      <c r="I5" s="785"/>
      <c r="J5" s="786"/>
      <c r="K5" s="212"/>
      <c r="L5" s="212"/>
      <c r="M5" s="212"/>
      <c r="N5" s="799" t="s">
        <v>484</v>
      </c>
      <c r="O5" s="800"/>
      <c r="P5" s="800"/>
      <c r="Q5" s="801"/>
      <c r="R5" s="216"/>
      <c r="S5" s="216"/>
      <c r="T5" s="216"/>
      <c r="U5" s="455"/>
      <c r="V5" s="449"/>
      <c r="W5" s="456"/>
      <c r="X5" s="448"/>
      <c r="Y5" s="449"/>
      <c r="Z5" s="1"/>
    </row>
    <row r="6" spans="1:26" s="160" customFormat="1">
      <c r="D6" s="782" t="s">
        <v>13</v>
      </c>
      <c r="E6" s="783"/>
      <c r="F6" s="453"/>
      <c r="G6" s="453"/>
      <c r="H6" s="453"/>
      <c r="I6" s="453"/>
      <c r="J6" s="454"/>
      <c r="K6" s="212"/>
      <c r="L6" s="212"/>
      <c r="M6" s="212"/>
      <c r="N6" s="802" t="s">
        <v>557</v>
      </c>
      <c r="O6" s="803"/>
      <c r="P6" s="445"/>
      <c r="Q6" s="446"/>
      <c r="R6" s="216"/>
      <c r="S6" s="216"/>
      <c r="T6" s="216"/>
      <c r="U6" s="782" t="s">
        <v>142</v>
      </c>
      <c r="V6" s="798"/>
      <c r="W6" s="792" t="s">
        <v>564</v>
      </c>
      <c r="X6" s="793"/>
      <c r="Y6" s="794"/>
      <c r="Z6" s="296"/>
    </row>
    <row r="7" spans="1:26" ht="13.5" thickBot="1">
      <c r="D7" s="784" t="s">
        <v>560</v>
      </c>
      <c r="E7" s="785"/>
      <c r="F7" s="785"/>
      <c r="G7" s="785"/>
      <c r="H7" s="785"/>
      <c r="I7" s="785"/>
      <c r="J7" s="786"/>
      <c r="K7" s="212"/>
      <c r="L7" s="212"/>
      <c r="M7" s="212"/>
      <c r="N7" s="799" t="s">
        <v>562</v>
      </c>
      <c r="O7" s="800"/>
      <c r="P7" s="800"/>
      <c r="Q7" s="801"/>
      <c r="R7" s="216"/>
      <c r="S7" s="216"/>
      <c r="T7" s="216"/>
      <c r="U7" s="455"/>
      <c r="V7" s="449"/>
      <c r="W7" s="456"/>
      <c r="X7" s="448"/>
      <c r="Y7" s="449"/>
      <c r="Z7" s="1"/>
    </row>
    <row r="8" spans="1:26" s="160" customFormat="1">
      <c r="D8" s="787" t="s">
        <v>100</v>
      </c>
      <c r="E8" s="789"/>
      <c r="F8" s="789"/>
      <c r="G8" s="789"/>
      <c r="H8" s="789"/>
      <c r="I8" s="787" t="s">
        <v>485</v>
      </c>
      <c r="J8" s="788"/>
      <c r="K8" s="212"/>
      <c r="L8" s="212"/>
      <c r="M8" s="212"/>
      <c r="N8" s="802" t="s">
        <v>558</v>
      </c>
      <c r="O8" s="803"/>
      <c r="P8" s="445"/>
      <c r="Q8" s="446"/>
      <c r="R8" s="216"/>
      <c r="S8" s="212"/>
      <c r="T8" s="216"/>
      <c r="U8" s="782" t="s">
        <v>145</v>
      </c>
      <c r="V8" s="798"/>
      <c r="W8" s="792" t="s">
        <v>565</v>
      </c>
      <c r="X8" s="793"/>
      <c r="Y8" s="794"/>
      <c r="Z8" s="296"/>
    </row>
    <row r="9" spans="1:26" ht="13.5" thickBot="1">
      <c r="D9" s="799" t="s">
        <v>486</v>
      </c>
      <c r="E9" s="800"/>
      <c r="F9" s="800"/>
      <c r="G9" s="800"/>
      <c r="H9" s="800"/>
      <c r="I9" s="500">
        <v>1.17</v>
      </c>
      <c r="J9" s="501">
        <v>1.37</v>
      </c>
      <c r="K9" s="212"/>
      <c r="L9" s="212"/>
      <c r="M9" s="212"/>
      <c r="N9" s="799" t="s">
        <v>487</v>
      </c>
      <c r="O9" s="800"/>
      <c r="P9" s="800"/>
      <c r="Q9" s="801"/>
      <c r="R9" s="216"/>
      <c r="S9" s="216"/>
      <c r="T9" s="216"/>
      <c r="U9" s="455"/>
      <c r="V9" s="449"/>
      <c r="W9" s="456"/>
      <c r="X9" s="448"/>
      <c r="Y9" s="449"/>
      <c r="Z9" s="1"/>
    </row>
    <row r="10" spans="1:26">
      <c r="D10" s="779" t="s">
        <v>488</v>
      </c>
      <c r="E10" s="780"/>
      <c r="F10" s="780"/>
      <c r="G10" s="780"/>
      <c r="H10" s="780"/>
      <c r="I10" s="780"/>
      <c r="J10" s="781"/>
      <c r="K10" s="212"/>
      <c r="L10" s="212"/>
      <c r="M10" s="212"/>
      <c r="N10" s="787" t="s">
        <v>489</v>
      </c>
      <c r="O10" s="788"/>
      <c r="P10" s="787" t="s">
        <v>209</v>
      </c>
      <c r="Q10" s="788"/>
      <c r="R10" s="216"/>
      <c r="S10" s="216"/>
      <c r="T10" s="216"/>
      <c r="U10" s="787" t="s">
        <v>490</v>
      </c>
      <c r="V10" s="788"/>
      <c r="W10" s="787" t="s">
        <v>99</v>
      </c>
      <c r="X10" s="789"/>
      <c r="Y10" s="788"/>
      <c r="Z10" s="296"/>
    </row>
    <row r="11" spans="1:26" ht="13.5" thickBot="1">
      <c r="D11" s="784" t="s">
        <v>561</v>
      </c>
      <c r="E11" s="785"/>
      <c r="F11" s="785"/>
      <c r="G11" s="785"/>
      <c r="H11" s="785"/>
      <c r="I11" s="785"/>
      <c r="J11" s="786"/>
      <c r="K11" s="212"/>
      <c r="L11" s="212"/>
      <c r="M11" s="212"/>
      <c r="N11" s="804">
        <f>COUNT(C15:C17)</f>
        <v>3</v>
      </c>
      <c r="O11" s="805"/>
      <c r="P11" s="790">
        <v>10</v>
      </c>
      <c r="Q11" s="791"/>
      <c r="R11" s="395"/>
      <c r="S11" s="395"/>
      <c r="T11" s="395"/>
      <c r="U11" s="790">
        <v>3</v>
      </c>
      <c r="V11" s="791"/>
      <c r="W11" s="776">
        <v>38765</v>
      </c>
      <c r="X11" s="777"/>
      <c r="Y11" s="778"/>
      <c r="Z11" s="1"/>
    </row>
    <row r="12" spans="1:26">
      <c r="A12" s="1"/>
      <c r="B12" s="1"/>
      <c r="C12" s="1"/>
      <c r="D12" s="396" t="str">
        <f>IF(I9&gt;J9,"ENTER LOWER SPECIFICATION IN D11 AND UPPER IN E11","")</f>
        <v/>
      </c>
      <c r="E12" s="1"/>
      <c r="F12" s="1"/>
      <c r="G12" s="4"/>
      <c r="H12" s="1"/>
      <c r="I12" s="4"/>
      <c r="J12" s="1"/>
      <c r="K12" s="4"/>
      <c r="L12" s="1"/>
      <c r="M12" s="1"/>
      <c r="N12" s="1"/>
      <c r="O12" s="1"/>
      <c r="P12" s="1"/>
      <c r="Q12" s="1"/>
      <c r="R12" s="1"/>
      <c r="S12" s="4"/>
      <c r="T12" s="1"/>
      <c r="U12" s="4"/>
      <c r="V12" s="1"/>
      <c r="W12" s="4"/>
      <c r="X12" s="1"/>
      <c r="Y12" s="1"/>
      <c r="Z12" s="1"/>
    </row>
    <row r="13" spans="1:26" ht="15.75">
      <c r="A13" s="397" t="s">
        <v>491</v>
      </c>
      <c r="B13" s="398"/>
      <c r="C13" s="399" t="s">
        <v>150</v>
      </c>
      <c r="D13" s="400"/>
      <c r="E13" s="400"/>
      <c r="F13" s="400"/>
      <c r="G13" s="400"/>
      <c r="H13" s="400"/>
      <c r="I13" s="400"/>
      <c r="J13" s="400"/>
      <c r="K13" s="400"/>
      <c r="L13" s="401"/>
      <c r="M13" s="402" t="s">
        <v>492</v>
      </c>
      <c r="N13" s="403"/>
      <c r="O13" s="404"/>
      <c r="P13" s="405"/>
      <c r="Q13" s="405"/>
      <c r="R13" s="406" t="s">
        <v>115</v>
      </c>
      <c r="S13" s="405"/>
      <c r="T13" s="405"/>
      <c r="U13" s="407"/>
      <c r="V13" s="408" t="s">
        <v>493</v>
      </c>
      <c r="W13" s="409"/>
      <c r="X13" s="410"/>
      <c r="Y13" s="411"/>
    </row>
    <row r="14" spans="1:26" ht="15.75" customHeight="1" thickBot="1">
      <c r="A14" s="412" t="s">
        <v>494</v>
      </c>
      <c r="B14" s="413"/>
      <c r="C14" s="414">
        <v>1</v>
      </c>
      <c r="D14" s="414">
        <v>2</v>
      </c>
      <c r="E14" s="414">
        <v>3</v>
      </c>
      <c r="F14" s="414">
        <v>4</v>
      </c>
      <c r="G14" s="414">
        <v>5</v>
      </c>
      <c r="H14" s="414">
        <v>6</v>
      </c>
      <c r="I14" s="414">
        <v>7</v>
      </c>
      <c r="J14" s="414">
        <v>8</v>
      </c>
      <c r="K14" s="414">
        <v>9</v>
      </c>
      <c r="L14" s="414">
        <v>10</v>
      </c>
      <c r="M14" s="415"/>
      <c r="N14" s="413"/>
      <c r="O14" s="416" t="s">
        <v>495</v>
      </c>
      <c r="P14" s="417"/>
      <c r="Q14" s="417"/>
      <c r="R14" s="417"/>
      <c r="S14" s="417"/>
      <c r="T14" s="417"/>
      <c r="U14" s="418"/>
      <c r="V14" s="419"/>
      <c r="W14" s="417"/>
      <c r="X14" s="417"/>
      <c r="Y14" s="418"/>
    </row>
    <row r="15" spans="1:26" ht="18" customHeight="1">
      <c r="A15" s="420" t="s">
        <v>496</v>
      </c>
      <c r="B15" s="421">
        <v>1</v>
      </c>
      <c r="C15" s="502">
        <v>1.27</v>
      </c>
      <c r="D15" s="502">
        <v>1.26</v>
      </c>
      <c r="E15" s="502">
        <v>1.27</v>
      </c>
      <c r="F15" s="502">
        <v>1.27</v>
      </c>
      <c r="G15" s="502">
        <v>1.26</v>
      </c>
      <c r="H15" s="502">
        <v>1.27</v>
      </c>
      <c r="I15" s="502">
        <v>1.26</v>
      </c>
      <c r="J15" s="502">
        <v>1.27</v>
      </c>
      <c r="K15" s="502">
        <v>1.26</v>
      </c>
      <c r="L15" s="502">
        <v>1.27</v>
      </c>
      <c r="M15" s="479"/>
      <c r="N15" s="557">
        <f t="shared" ref="N15:N29" si="0">IF(C15&lt;&gt;"",AVERAGE(C15:L15),"")</f>
        <v>1.2659999999999998</v>
      </c>
      <c r="O15" s="189" t="s">
        <v>497</v>
      </c>
      <c r="P15" s="4" t="s">
        <v>119</v>
      </c>
      <c r="Q15" s="422" t="s">
        <v>498</v>
      </c>
      <c r="T15" s="423" t="s">
        <v>489</v>
      </c>
      <c r="U15" s="424" t="s">
        <v>499</v>
      </c>
      <c r="V15" s="189" t="s">
        <v>500</v>
      </c>
      <c r="W15" s="3" t="s">
        <v>119</v>
      </c>
      <c r="X15" t="s">
        <v>501</v>
      </c>
      <c r="Y15" s="117"/>
    </row>
    <row r="16" spans="1:26" ht="18" customHeight="1" thickBot="1">
      <c r="A16" s="425">
        <v>2</v>
      </c>
      <c r="B16" s="426">
        <v>2</v>
      </c>
      <c r="C16" s="503">
        <v>1.28</v>
      </c>
      <c r="D16" s="503">
        <v>1.26</v>
      </c>
      <c r="E16" s="503">
        <v>1.27</v>
      </c>
      <c r="F16" s="503">
        <v>1.27</v>
      </c>
      <c r="G16" s="503">
        <v>1.26</v>
      </c>
      <c r="H16" s="503">
        <v>1.27</v>
      </c>
      <c r="I16" s="503">
        <v>1.26</v>
      </c>
      <c r="J16" s="503">
        <v>1.26</v>
      </c>
      <c r="K16" s="503">
        <v>1.26</v>
      </c>
      <c r="L16" s="503">
        <v>1.27</v>
      </c>
      <c r="M16" s="481"/>
      <c r="N16" s="558">
        <f t="shared" si="0"/>
        <v>1.2659999999999998</v>
      </c>
      <c r="O16" s="192"/>
      <c r="P16" s="4" t="s">
        <v>119</v>
      </c>
      <c r="Q16" t="str">
        <f>IF(C15&lt;&gt;"",CONCATENATE(TEXT($N$32,"0.000")," x ",CHOOSE($N$11,0,U16,U17)),"")</f>
        <v>0.010 x 3.05</v>
      </c>
      <c r="T16" s="427">
        <v>2</v>
      </c>
      <c r="U16" s="428">
        <v>4.5599999999999996</v>
      </c>
      <c r="V16" s="189"/>
      <c r="W16" s="3" t="s">
        <v>119</v>
      </c>
      <c r="X16" s="254" t="str">
        <f>IF(C15&lt;&gt;"",CONCATENATE("100(",TEXT($Q$17,"0.000"),"/",TEXT($Q$34,"0.000"),")"),"")</f>
        <v>100(0.032/0.200)</v>
      </c>
      <c r="Y16" s="117"/>
    </row>
    <row r="17" spans="1:25" ht="18" customHeight="1" thickBot="1">
      <c r="A17" s="429">
        <f>A16+1</f>
        <v>3</v>
      </c>
      <c r="B17" s="430">
        <v>3</v>
      </c>
      <c r="C17" s="503">
        <v>1.27</v>
      </c>
      <c r="D17" s="503">
        <v>1.27</v>
      </c>
      <c r="E17" s="503">
        <v>1.26</v>
      </c>
      <c r="F17" s="503">
        <v>1.26</v>
      </c>
      <c r="G17" s="503">
        <v>1.26</v>
      </c>
      <c r="H17" s="503">
        <v>1.26</v>
      </c>
      <c r="I17" s="503">
        <v>1.26</v>
      </c>
      <c r="J17" s="503">
        <v>1.27</v>
      </c>
      <c r="K17" s="503">
        <v>1.25</v>
      </c>
      <c r="L17" s="503">
        <v>1.27</v>
      </c>
      <c r="M17" s="481"/>
      <c r="N17" s="558">
        <f t="shared" si="0"/>
        <v>1.2629999999999999</v>
      </c>
      <c r="O17" s="194"/>
      <c r="P17" s="195" t="s">
        <v>119</v>
      </c>
      <c r="Q17" s="196">
        <f>IF(C15&lt;&gt;"",$N$32*(CHOOSE($N$11,0,U16,U17)),"")</f>
        <v>3.1855555555555568E-2</v>
      </c>
      <c r="R17" s="119"/>
      <c r="S17" s="119"/>
      <c r="T17" s="431">
        <v>3</v>
      </c>
      <c r="U17" s="231">
        <v>3.05</v>
      </c>
      <c r="V17" s="194"/>
      <c r="W17" s="195" t="s">
        <v>119</v>
      </c>
      <c r="X17" s="457">
        <f>IF(C15&lt;&gt;"",100*($Q$17/$Q$34),"")</f>
        <v>15.927777777777768</v>
      </c>
      <c r="Y17" s="120"/>
    </row>
    <row r="18" spans="1:25" ht="18" customHeight="1">
      <c r="A18" s="429">
        <f>A17+1</f>
        <v>4</v>
      </c>
      <c r="B18" s="430" t="s">
        <v>502</v>
      </c>
      <c r="C18" s="483">
        <f>IF(C15&lt;&gt;"",SUM(C15:C17)/COUNT(C15:C17),"")</f>
        <v>1.2733333333333332</v>
      </c>
      <c r="D18" s="483">
        <f t="shared" ref="D18:L18" si="1">IF(D15&lt;&gt;"",SUM(D15:D17)/COUNT(D15:D17),"")</f>
        <v>1.2633333333333334</v>
      </c>
      <c r="E18" s="483">
        <f t="shared" si="1"/>
        <v>1.2666666666666666</v>
      </c>
      <c r="F18" s="483">
        <f t="shared" si="1"/>
        <v>1.2666666666666666</v>
      </c>
      <c r="G18" s="483">
        <f t="shared" si="1"/>
        <v>1.26</v>
      </c>
      <c r="H18" s="483">
        <f t="shared" si="1"/>
        <v>1.2666666666666666</v>
      </c>
      <c r="I18" s="483">
        <f t="shared" si="1"/>
        <v>1.26</v>
      </c>
      <c r="J18" s="483">
        <f t="shared" si="1"/>
        <v>1.2666666666666668</v>
      </c>
      <c r="K18" s="483">
        <f t="shared" si="1"/>
        <v>1.2566666666666666</v>
      </c>
      <c r="L18" s="483">
        <f t="shared" si="1"/>
        <v>1.27</v>
      </c>
      <c r="M18" s="484" t="s">
        <v>503</v>
      </c>
      <c r="N18" s="558">
        <f t="shared" si="0"/>
        <v>1.2650000000000001</v>
      </c>
      <c r="O18" s="187" t="s">
        <v>504</v>
      </c>
      <c r="P18" s="123"/>
      <c r="Q18" s="123"/>
      <c r="R18" s="123"/>
      <c r="S18" s="123"/>
      <c r="T18" s="123"/>
      <c r="U18" s="188"/>
      <c r="V18" s="203"/>
      <c r="W18" s="123"/>
      <c r="X18" s="1"/>
      <c r="Y18" s="188"/>
    </row>
    <row r="19" spans="1:25" ht="18" customHeight="1" thickBot="1">
      <c r="A19" s="432">
        <f>A18+1</f>
        <v>5</v>
      </c>
      <c r="B19" s="433" t="s">
        <v>120</v>
      </c>
      <c r="C19" s="485">
        <f>IF(C15&lt;&gt;"",MAX(C15:C17)-MIN(C15:C17),"")</f>
        <v>1.0000000000000009E-2</v>
      </c>
      <c r="D19" s="485">
        <f t="shared" ref="D19:L19" si="2">IF(D15&lt;&gt;"",MAX(D15:D17)-MIN(D15:D17),"")</f>
        <v>1.0000000000000009E-2</v>
      </c>
      <c r="E19" s="485">
        <f t="shared" si="2"/>
        <v>1.0000000000000009E-2</v>
      </c>
      <c r="F19" s="485">
        <f t="shared" si="2"/>
        <v>1.0000000000000009E-2</v>
      </c>
      <c r="G19" s="485">
        <f t="shared" si="2"/>
        <v>0</v>
      </c>
      <c r="H19" s="485">
        <f t="shared" si="2"/>
        <v>1.0000000000000009E-2</v>
      </c>
      <c r="I19" s="485">
        <f t="shared" si="2"/>
        <v>0</v>
      </c>
      <c r="J19" s="485">
        <f t="shared" si="2"/>
        <v>1.0000000000000009E-2</v>
      </c>
      <c r="K19" s="485">
        <f t="shared" si="2"/>
        <v>1.0000000000000009E-2</v>
      </c>
      <c r="L19" s="485">
        <f t="shared" si="2"/>
        <v>0</v>
      </c>
      <c r="M19" s="486" t="s">
        <v>505</v>
      </c>
      <c r="N19" s="558">
        <f t="shared" si="0"/>
        <v>7.0000000000000062E-3</v>
      </c>
      <c r="O19" s="189" t="s">
        <v>506</v>
      </c>
      <c r="P19" s="4" t="s">
        <v>119</v>
      </c>
      <c r="Q19" s="1" t="s">
        <v>507</v>
      </c>
      <c r="R19" s="1"/>
      <c r="S19" s="1"/>
      <c r="T19" s="1"/>
      <c r="U19" s="117"/>
      <c r="V19" s="189" t="s">
        <v>508</v>
      </c>
      <c r="W19" s="4" t="s">
        <v>119</v>
      </c>
      <c r="X19" s="1" t="s">
        <v>509</v>
      </c>
      <c r="Y19" s="117"/>
    </row>
    <row r="20" spans="1:25" ht="18" customHeight="1" thickBot="1">
      <c r="A20" s="420" t="s">
        <v>510</v>
      </c>
      <c r="B20" s="421">
        <v>1</v>
      </c>
      <c r="C20" s="502">
        <v>1.26</v>
      </c>
      <c r="D20" s="502">
        <v>1.25</v>
      </c>
      <c r="E20" s="502">
        <v>1.26</v>
      </c>
      <c r="F20" s="504">
        <v>1.27</v>
      </c>
      <c r="G20" s="504">
        <v>1.27</v>
      </c>
      <c r="H20" s="502">
        <v>1.27</v>
      </c>
      <c r="I20" s="504">
        <v>1.25</v>
      </c>
      <c r="J20" s="502">
        <v>1.27</v>
      </c>
      <c r="K20" s="502">
        <v>1.27</v>
      </c>
      <c r="L20" s="502">
        <v>1.27</v>
      </c>
      <c r="M20" s="479"/>
      <c r="N20" s="557">
        <f t="shared" si="0"/>
        <v>1.2639999999999998</v>
      </c>
      <c r="O20" s="192"/>
      <c r="P20" s="4" t="s">
        <v>119</v>
      </c>
      <c r="Q20" s="126" t="str">
        <f>IF(C15&lt;&gt;"",CONCATENATE("{(",TEXT($N$33,"0.000")," x ",CHOOSE($U$11,0,T22,U22),")^2 - (",TEXT($Q$17,"0.000")," ^2/(",$P$11," x ",$N$11,"))}^1/2"),"")</f>
        <v>{(0.002 x 2.7)^2 - (0.032 ^2/(10 x 3))}^1/2</v>
      </c>
      <c r="R20" s="1"/>
      <c r="S20" s="1"/>
      <c r="T20" s="1"/>
      <c r="U20" s="117"/>
      <c r="V20" s="189"/>
      <c r="W20" s="4" t="s">
        <v>119</v>
      </c>
      <c r="X20" t="str">
        <f>IF(C15&lt;&gt;"",CONCATENATE("100(",TEXT($Q$21,"0.000"),"/",TEXT($Q$34,"0.000"),")"),"")</f>
        <v>100(0.000/0.200)</v>
      </c>
      <c r="Y20" s="117"/>
    </row>
    <row r="21" spans="1:25" ht="18" customHeight="1" thickBot="1">
      <c r="A21" s="429">
        <v>7</v>
      </c>
      <c r="B21" s="426">
        <v>2</v>
      </c>
      <c r="C21" s="503">
        <v>1.27</v>
      </c>
      <c r="D21" s="503">
        <v>1.26</v>
      </c>
      <c r="E21" s="503">
        <v>1.25</v>
      </c>
      <c r="F21" s="505">
        <v>1.26</v>
      </c>
      <c r="G21" s="505">
        <v>1.29</v>
      </c>
      <c r="H21" s="503">
        <v>1.27</v>
      </c>
      <c r="I21" s="505">
        <v>1.27</v>
      </c>
      <c r="J21" s="503">
        <v>1.26</v>
      </c>
      <c r="K21" s="503">
        <v>1.26</v>
      </c>
      <c r="L21" s="503">
        <v>1.26</v>
      </c>
      <c r="M21" s="481"/>
      <c r="N21" s="558">
        <f t="shared" si="0"/>
        <v>1.2649999999999999</v>
      </c>
      <c r="O21" s="192"/>
      <c r="P21" s="4" t="s">
        <v>119</v>
      </c>
      <c r="Q21" s="435">
        <f>IF(C15="","",IF(($N$33*CHOOSE($U$11,0,T22,U22))^2-$Q$17^2/($P$11*$N$11)&lt;0,0,(($N$33*CHOOSE($U$11,0,T22,U22))^2-$Q$17^2/($P$11*$N$11))^(1/2)))</f>
        <v>0</v>
      </c>
      <c r="R21" s="1"/>
      <c r="S21" s="436" t="s">
        <v>490</v>
      </c>
      <c r="T21" s="423">
        <v>2</v>
      </c>
      <c r="U21" s="423">
        <v>3</v>
      </c>
      <c r="V21" s="189"/>
      <c r="W21" s="4" t="s">
        <v>511</v>
      </c>
      <c r="X21" s="457">
        <f>IF(C15&lt;&gt;"",100*($Q$21/$Q$34),"")</f>
        <v>0</v>
      </c>
      <c r="Y21" s="117"/>
    </row>
    <row r="22" spans="1:25" ht="18" customHeight="1">
      <c r="A22" s="429">
        <f>A21+1</f>
        <v>8</v>
      </c>
      <c r="B22" s="430">
        <v>3</v>
      </c>
      <c r="C22" s="503">
        <v>1.27</v>
      </c>
      <c r="D22" s="503">
        <v>1.26</v>
      </c>
      <c r="E22" s="503">
        <v>1.26</v>
      </c>
      <c r="F22" s="505">
        <v>1.27</v>
      </c>
      <c r="G22" s="505">
        <v>1.28</v>
      </c>
      <c r="H22" s="503">
        <v>1.26</v>
      </c>
      <c r="I22" s="505">
        <v>1.27</v>
      </c>
      <c r="J22" s="503">
        <v>1.27</v>
      </c>
      <c r="K22" s="503">
        <v>1.27</v>
      </c>
      <c r="L22" s="503">
        <v>1.28</v>
      </c>
      <c r="M22" s="481"/>
      <c r="N22" s="558">
        <f t="shared" si="0"/>
        <v>1.2689999999999999</v>
      </c>
      <c r="O22" s="194"/>
      <c r="P22" s="119"/>
      <c r="Q22" s="119"/>
      <c r="R22" s="119"/>
      <c r="S22" s="177" t="s">
        <v>512</v>
      </c>
      <c r="T22" s="177">
        <v>3.65</v>
      </c>
      <c r="U22" s="438">
        <v>2.7</v>
      </c>
      <c r="V22" s="192" t="s">
        <v>513</v>
      </c>
      <c r="W22" s="1"/>
      <c r="X22" s="1"/>
      <c r="Y22" s="117"/>
    </row>
    <row r="23" spans="1:25" ht="18" customHeight="1">
      <c r="A23" s="429">
        <f>A22+1</f>
        <v>9</v>
      </c>
      <c r="B23" s="430" t="s">
        <v>502</v>
      </c>
      <c r="C23" s="483">
        <f t="shared" ref="C23:L23" si="3">IF(C20&lt;&gt;"",SUM(C20:C22)/COUNT(C20:C22),"")</f>
        <v>1.2666666666666668</v>
      </c>
      <c r="D23" s="483">
        <f t="shared" si="3"/>
        <v>1.2566666666666666</v>
      </c>
      <c r="E23" s="483">
        <f t="shared" si="3"/>
        <v>1.2566666666666666</v>
      </c>
      <c r="F23" s="483">
        <f t="shared" si="3"/>
        <v>1.2666666666666668</v>
      </c>
      <c r="G23" s="483">
        <f t="shared" si="3"/>
        <v>1.28</v>
      </c>
      <c r="H23" s="483">
        <f t="shared" si="3"/>
        <v>1.2666666666666666</v>
      </c>
      <c r="I23" s="483">
        <f t="shared" si="3"/>
        <v>1.2633333333333334</v>
      </c>
      <c r="J23" s="483">
        <f t="shared" si="3"/>
        <v>1.2666666666666668</v>
      </c>
      <c r="K23" s="483">
        <f t="shared" si="3"/>
        <v>1.2666666666666668</v>
      </c>
      <c r="L23" s="483">
        <f t="shared" si="3"/>
        <v>1.2700000000000002</v>
      </c>
      <c r="M23" s="484" t="s">
        <v>514</v>
      </c>
      <c r="N23" s="558">
        <f t="shared" si="0"/>
        <v>1.2660000000000002</v>
      </c>
      <c r="O23" s="187" t="s">
        <v>515</v>
      </c>
      <c r="P23" s="123"/>
      <c r="Q23" s="123"/>
      <c r="R23" s="123"/>
      <c r="S23" s="123"/>
      <c r="T23" s="123"/>
      <c r="U23" s="188"/>
      <c r="V23" s="194" t="s">
        <v>516</v>
      </c>
      <c r="W23" s="119"/>
      <c r="X23" s="119"/>
      <c r="Y23" s="120"/>
    </row>
    <row r="24" spans="1:25" ht="18" customHeight="1" thickBot="1">
      <c r="A24" s="432">
        <f>A23+1</f>
        <v>10</v>
      </c>
      <c r="B24" s="433" t="s">
        <v>120</v>
      </c>
      <c r="C24" s="485">
        <f t="shared" ref="C24:L24" si="4">IF(C20&lt;&gt;"",MAX(C20:C22)-MIN(C20:C22),"")</f>
        <v>1.0000000000000009E-2</v>
      </c>
      <c r="D24" s="485">
        <f t="shared" si="4"/>
        <v>1.0000000000000009E-2</v>
      </c>
      <c r="E24" s="485">
        <f t="shared" si="4"/>
        <v>1.0000000000000009E-2</v>
      </c>
      <c r="F24" s="485">
        <f t="shared" si="4"/>
        <v>1.0000000000000009E-2</v>
      </c>
      <c r="G24" s="485">
        <f t="shared" si="4"/>
        <v>2.0000000000000018E-2</v>
      </c>
      <c r="H24" s="485">
        <f t="shared" si="4"/>
        <v>1.0000000000000009E-2</v>
      </c>
      <c r="I24" s="485">
        <f t="shared" si="4"/>
        <v>2.0000000000000018E-2</v>
      </c>
      <c r="J24" s="485">
        <f t="shared" si="4"/>
        <v>1.0000000000000009E-2</v>
      </c>
      <c r="K24" s="485">
        <f t="shared" si="4"/>
        <v>1.0000000000000009E-2</v>
      </c>
      <c r="L24" s="485">
        <f t="shared" si="4"/>
        <v>2.0000000000000018E-2</v>
      </c>
      <c r="M24" s="486" t="s">
        <v>517</v>
      </c>
      <c r="N24" s="558">
        <f t="shared" si="0"/>
        <v>1.3000000000000012E-2</v>
      </c>
      <c r="O24" s="189" t="s">
        <v>518</v>
      </c>
      <c r="P24" s="4" t="s">
        <v>119</v>
      </c>
      <c r="Q24" s="1" t="s">
        <v>519</v>
      </c>
      <c r="R24" s="1"/>
      <c r="S24" s="1"/>
      <c r="T24" s="423" t="s">
        <v>209</v>
      </c>
      <c r="U24" s="424" t="s">
        <v>520</v>
      </c>
      <c r="V24" s="203"/>
      <c r="W24" s="123"/>
      <c r="X24" s="123"/>
      <c r="Y24" s="188"/>
    </row>
    <row r="25" spans="1:25" ht="18" customHeight="1" thickBot="1">
      <c r="A25" s="420" t="s">
        <v>521</v>
      </c>
      <c r="B25" s="421">
        <v>1</v>
      </c>
      <c r="C25" s="502">
        <v>1.27</v>
      </c>
      <c r="D25" s="502">
        <v>1.27</v>
      </c>
      <c r="E25" s="502">
        <v>1.27</v>
      </c>
      <c r="F25" s="504">
        <v>1.27</v>
      </c>
      <c r="G25" s="502">
        <v>1.26</v>
      </c>
      <c r="H25" s="502">
        <v>1.27</v>
      </c>
      <c r="I25" s="502">
        <v>1.26</v>
      </c>
      <c r="J25" s="502">
        <v>1.27</v>
      </c>
      <c r="K25" s="434">
        <v>1.26</v>
      </c>
      <c r="L25" s="502">
        <v>1.27</v>
      </c>
      <c r="M25" s="479"/>
      <c r="N25" s="557">
        <f t="shared" si="0"/>
        <v>1.2669999999999999</v>
      </c>
      <c r="O25" s="192"/>
      <c r="P25" s="4" t="s">
        <v>119</v>
      </c>
      <c r="Q25" s="439" t="str">
        <f>IF(C15&lt;&gt;"",CONCATENATE("{(",TEXT($Q$17,"0.000"),"^2 + ",TEXT($Q$21,"0.000"),"^2)}^1/2"),"")</f>
        <v>{(0.032^2 + 0.000^2)}^1/2</v>
      </c>
      <c r="R25" s="1"/>
      <c r="S25" s="1"/>
      <c r="T25" s="427">
        <v>2</v>
      </c>
      <c r="U25" s="440">
        <v>3.65</v>
      </c>
      <c r="V25" s="189" t="s">
        <v>522</v>
      </c>
      <c r="W25" s="4" t="s">
        <v>119</v>
      </c>
      <c r="X25" s="1" t="s">
        <v>523</v>
      </c>
      <c r="Y25" s="117"/>
    </row>
    <row r="26" spans="1:25" ht="18" customHeight="1" thickBot="1">
      <c r="A26" s="429">
        <v>12</v>
      </c>
      <c r="B26" s="426">
        <v>2</v>
      </c>
      <c r="C26" s="503">
        <v>1.28</v>
      </c>
      <c r="D26" s="503">
        <v>1.25</v>
      </c>
      <c r="E26" s="503">
        <v>1.26</v>
      </c>
      <c r="F26" s="505">
        <v>1.26</v>
      </c>
      <c r="G26" s="503">
        <v>1.26</v>
      </c>
      <c r="H26" s="503">
        <v>1.27</v>
      </c>
      <c r="I26" s="503">
        <v>1.26</v>
      </c>
      <c r="J26" s="503">
        <v>1.26</v>
      </c>
      <c r="K26" s="434">
        <f>IF(K22&lt;&gt;"",MAX(K22:K24)-MIN(K22:K24),"")</f>
        <v>1.26</v>
      </c>
      <c r="L26" s="503">
        <v>1.26</v>
      </c>
      <c r="M26" s="481"/>
      <c r="N26" s="558">
        <f t="shared" si="0"/>
        <v>1.262</v>
      </c>
      <c r="O26" s="194"/>
      <c r="P26" s="195" t="s">
        <v>119</v>
      </c>
      <c r="Q26" s="197">
        <f>IF(C15&lt;&gt;"",($Q$17^2+$Q$21^2)^(1/2),"")</f>
        <v>3.1855555555555568E-2</v>
      </c>
      <c r="R26" s="119"/>
      <c r="S26" s="119"/>
      <c r="T26" s="427">
        <v>3</v>
      </c>
      <c r="U26" s="440">
        <v>2.7</v>
      </c>
      <c r="V26" s="189"/>
      <c r="W26" s="4" t="s">
        <v>119</v>
      </c>
      <c r="X26" t="str">
        <f>IF(C15&lt;&gt;"",CONCATENATE("100(",TEXT($Q$26,"0.000"),"/",TEXT($Q$34,"0.000"),")"),"")</f>
        <v>100(0.032/0.200)</v>
      </c>
      <c r="Y26" s="117"/>
    </row>
    <row r="27" spans="1:25" ht="18" customHeight="1" thickBot="1">
      <c r="A27" s="429">
        <f>A26+1</f>
        <v>13</v>
      </c>
      <c r="B27" s="430">
        <v>3</v>
      </c>
      <c r="C27" s="503">
        <v>1.27</v>
      </c>
      <c r="D27" s="503">
        <v>1.27</v>
      </c>
      <c r="E27" s="503">
        <v>1.27</v>
      </c>
      <c r="F27" s="505">
        <v>1.27</v>
      </c>
      <c r="G27" s="503">
        <v>1.27</v>
      </c>
      <c r="H27" s="503">
        <v>1.25</v>
      </c>
      <c r="I27" s="503">
        <v>1.26</v>
      </c>
      <c r="J27" s="503">
        <v>1.27</v>
      </c>
      <c r="K27" s="434">
        <f>IF(K23&lt;&gt;"",MAX(K23:K25)-MIN(K23:K25),"")</f>
        <v>1.2566666666666668</v>
      </c>
      <c r="L27" s="503">
        <v>1.28</v>
      </c>
      <c r="M27" s="481"/>
      <c r="N27" s="558">
        <f t="shared" si="0"/>
        <v>1.2666666666666666</v>
      </c>
      <c r="O27" s="187" t="s">
        <v>524</v>
      </c>
      <c r="P27" s="123"/>
      <c r="Q27" s="123"/>
      <c r="R27" s="123"/>
      <c r="S27" s="123"/>
      <c r="T27" s="427">
        <v>4</v>
      </c>
      <c r="U27" s="440">
        <v>2.2999999999999998</v>
      </c>
      <c r="V27" s="189"/>
      <c r="W27" s="4" t="s">
        <v>119</v>
      </c>
      <c r="X27" s="459">
        <f>IF(C15&lt;&gt;"",100*($Q$26/$Q$34),"")</f>
        <v>15.927777777777768</v>
      </c>
      <c r="Y27" s="117"/>
    </row>
    <row r="28" spans="1:25" ht="18" customHeight="1" thickBot="1">
      <c r="A28" s="429">
        <f>A27+1</f>
        <v>14</v>
      </c>
      <c r="B28" s="430" t="s">
        <v>502</v>
      </c>
      <c r="C28" s="483">
        <f t="shared" ref="C28:L28" si="5">IF(C25&lt;&gt;"",SUM(C25:C27)/COUNT(C25:C27),"")</f>
        <v>1.2733333333333332</v>
      </c>
      <c r="D28" s="483">
        <f t="shared" si="5"/>
        <v>1.2633333333333334</v>
      </c>
      <c r="E28" s="483">
        <f t="shared" si="5"/>
        <v>1.2666666666666668</v>
      </c>
      <c r="F28" s="483">
        <f t="shared" si="5"/>
        <v>1.2666666666666668</v>
      </c>
      <c r="G28" s="483">
        <f t="shared" si="5"/>
        <v>1.2633333333333334</v>
      </c>
      <c r="H28" s="483">
        <f t="shared" si="5"/>
        <v>1.2633333333333334</v>
      </c>
      <c r="I28" s="483">
        <f t="shared" si="5"/>
        <v>1.26</v>
      </c>
      <c r="J28" s="483">
        <f t="shared" si="5"/>
        <v>1.2666666666666668</v>
      </c>
      <c r="K28" s="485">
        <f>IF(K24&lt;&gt;"",MAX(K24:K26)-MIN(K24:K26),"")</f>
        <v>1.25</v>
      </c>
      <c r="L28" s="483">
        <f t="shared" si="5"/>
        <v>1.2700000000000002</v>
      </c>
      <c r="M28" s="484" t="s">
        <v>525</v>
      </c>
      <c r="N28" s="558">
        <f t="shared" si="0"/>
        <v>1.2643333333333335</v>
      </c>
      <c r="O28" s="189" t="s">
        <v>526</v>
      </c>
      <c r="P28" s="4" t="s">
        <v>119</v>
      </c>
      <c r="Q28" s="1" t="s">
        <v>527</v>
      </c>
      <c r="R28" s="1"/>
      <c r="S28" s="1"/>
      <c r="T28" s="427">
        <v>5</v>
      </c>
      <c r="U28" s="458">
        <v>2.08</v>
      </c>
      <c r="V28" s="806" t="str">
        <f>IF(C16&lt;&gt;"",IF(X27&lt;10,"Gage System O.K.",IF(X27&lt;30,"Gage System may be acceptable","Gage System needs improvement")),"")</f>
        <v>Gage System may be acceptable</v>
      </c>
      <c r="W28" s="807"/>
      <c r="X28" s="807"/>
      <c r="Y28" s="808"/>
    </row>
    <row r="29" spans="1:25" ht="18" customHeight="1" thickBot="1">
      <c r="A29" s="432">
        <f>A28+1</f>
        <v>15</v>
      </c>
      <c r="B29" s="433" t="s">
        <v>120</v>
      </c>
      <c r="C29" s="485">
        <f t="shared" ref="C29:L29" si="6">IF(C25&lt;&gt;"",MAX(C25:C27)-MIN(C25:C27),"")</f>
        <v>1.0000000000000009E-2</v>
      </c>
      <c r="D29" s="485">
        <f t="shared" si="6"/>
        <v>2.0000000000000018E-2</v>
      </c>
      <c r="E29" s="485">
        <f t="shared" si="6"/>
        <v>1.0000000000000009E-2</v>
      </c>
      <c r="F29" s="485">
        <f t="shared" si="6"/>
        <v>1.0000000000000009E-2</v>
      </c>
      <c r="G29" s="485">
        <f t="shared" si="6"/>
        <v>1.0000000000000009E-2</v>
      </c>
      <c r="H29" s="485">
        <f t="shared" si="6"/>
        <v>2.0000000000000018E-2</v>
      </c>
      <c r="I29" s="485">
        <f t="shared" si="6"/>
        <v>0</v>
      </c>
      <c r="J29" s="485">
        <f t="shared" si="6"/>
        <v>1.0000000000000009E-2</v>
      </c>
      <c r="K29" s="485">
        <f t="shared" si="6"/>
        <v>3.3333333333331883E-3</v>
      </c>
      <c r="L29" s="485">
        <f t="shared" si="6"/>
        <v>2.0000000000000018E-2</v>
      </c>
      <c r="M29" s="486" t="s">
        <v>528</v>
      </c>
      <c r="N29" s="558">
        <f t="shared" si="0"/>
        <v>1.1333333333333329E-2</v>
      </c>
      <c r="O29" s="189"/>
      <c r="P29" s="4" t="s">
        <v>119</v>
      </c>
      <c r="Q29" s="1" t="str">
        <f>IF(C15&lt;&gt;"",CONCATENATE(TEXT($N$31,"0.000")," x ",CHOOSE($P$11,0,U25,U26,U27,U28,U29,U30,U31,U32,U33)),"")</f>
        <v>0.013 x 1.62</v>
      </c>
      <c r="R29" s="1"/>
      <c r="S29" s="1"/>
      <c r="T29" s="427">
        <v>6</v>
      </c>
      <c r="U29" s="440">
        <v>1.93</v>
      </c>
      <c r="V29" s="192"/>
      <c r="W29" s="1"/>
      <c r="X29" s="1"/>
      <c r="Y29" s="117"/>
    </row>
    <row r="30" spans="1:25" ht="18" customHeight="1">
      <c r="A30" s="567" t="s">
        <v>529</v>
      </c>
      <c r="B30" s="568"/>
      <c r="C30" s="488"/>
      <c r="D30" s="488"/>
      <c r="E30" s="488"/>
      <c r="F30" s="488"/>
      <c r="G30" s="488"/>
      <c r="H30" s="488"/>
      <c r="I30" s="488"/>
      <c r="J30" s="488"/>
      <c r="K30" s="488"/>
      <c r="L30" s="488"/>
      <c r="M30" s="489" t="s">
        <v>530</v>
      </c>
      <c r="N30" s="559">
        <f>IF(C15&lt;&gt;"",AVERAGE(C31:L31),"")</f>
        <v>1.2651111111111111</v>
      </c>
      <c r="O30" s="441"/>
      <c r="P30" s="195" t="s">
        <v>119</v>
      </c>
      <c r="Q30" s="197">
        <f>IF(C15&lt;&gt;"",$N$31*CHOOSE($P$11,0,U25,U26,U27,U28,U29,U30,U31,U32,U33),"")</f>
        <v>2.1599999999999779E-2</v>
      </c>
      <c r="R30" s="119"/>
      <c r="S30" s="119"/>
      <c r="T30" s="427">
        <v>7</v>
      </c>
      <c r="U30" s="440">
        <v>1.82</v>
      </c>
      <c r="V30" s="189" t="s">
        <v>531</v>
      </c>
      <c r="W30" s="4" t="s">
        <v>119</v>
      </c>
      <c r="X30" s="1" t="s">
        <v>532</v>
      </c>
      <c r="Y30" s="117"/>
    </row>
    <row r="31" spans="1:25" ht="18" customHeight="1" thickBot="1">
      <c r="A31" s="569" t="s">
        <v>533</v>
      </c>
      <c r="B31" s="570"/>
      <c r="C31" s="491">
        <f>IF(C18&lt;&gt;"",SUM(C18,C23,C28)/COUNT(C18,C23,C28),"")</f>
        <v>1.2711111111111111</v>
      </c>
      <c r="D31" s="491">
        <f t="shared" ref="D31:L31" si="7">IF(D18&lt;&gt;"",SUM(D18,D23,D28)/COUNT(D18,D23,D28),"")</f>
        <v>1.2611111111111111</v>
      </c>
      <c r="E31" s="491">
        <f t="shared" si="7"/>
        <v>1.2633333333333334</v>
      </c>
      <c r="F31" s="491">
        <f t="shared" si="7"/>
        <v>1.2666666666666666</v>
      </c>
      <c r="G31" s="491">
        <f t="shared" si="7"/>
        <v>1.2677777777777779</v>
      </c>
      <c r="H31" s="491">
        <f t="shared" si="7"/>
        <v>1.2655555555555555</v>
      </c>
      <c r="I31" s="491">
        <f t="shared" si="7"/>
        <v>1.2611111111111111</v>
      </c>
      <c r="J31" s="491">
        <f t="shared" si="7"/>
        <v>1.2666666666666668</v>
      </c>
      <c r="K31" s="491">
        <f t="shared" si="7"/>
        <v>1.2577777777777779</v>
      </c>
      <c r="L31" s="491">
        <f t="shared" si="7"/>
        <v>1.2700000000000002</v>
      </c>
      <c r="M31" s="492" t="s">
        <v>534</v>
      </c>
      <c r="N31" s="560">
        <f>IF(C15&lt;&gt;"",MAX(C31:L31)-MIN(C31:L31),"")</f>
        <v>1.3333333333333197E-2</v>
      </c>
      <c r="O31" s="187" t="s">
        <v>7</v>
      </c>
      <c r="P31" s="123"/>
      <c r="Q31" s="123"/>
      <c r="R31" s="123"/>
      <c r="S31" s="123"/>
      <c r="T31" s="427">
        <v>8</v>
      </c>
      <c r="U31" s="440">
        <v>1.74</v>
      </c>
      <c r="V31" s="189"/>
      <c r="W31" s="4" t="s">
        <v>119</v>
      </c>
      <c r="X31" s="1" t="str">
        <f>IF(C15&lt;&gt;"",CONCATENATE("100(",TEXT($Q$30,"0.000"),"/",TEXT($Q$36,"0.000"),")"),"")</f>
        <v>100(0.022/0.000)</v>
      </c>
      <c r="Y31" s="117"/>
    </row>
    <row r="32" spans="1:25" ht="18" customHeight="1" thickBot="1">
      <c r="A32" s="571">
        <f>A29+2</f>
        <v>17</v>
      </c>
      <c r="B32" s="479" t="s">
        <v>535</v>
      </c>
      <c r="C32" s="479"/>
      <c r="D32" s="479"/>
      <c r="E32" s="479"/>
      <c r="F32" s="479"/>
      <c r="G32" s="479"/>
      <c r="H32" s="479"/>
      <c r="I32" s="479"/>
      <c r="J32" s="479"/>
      <c r="K32" s="479"/>
      <c r="L32" s="479"/>
      <c r="M32" s="494" t="s">
        <v>536</v>
      </c>
      <c r="N32" s="557">
        <f>IF(C15&lt;&gt;"",SUM(N19,N24,N29)/COUNT(C15,C20,C25),"")</f>
        <v>1.0444444444444449E-2</v>
      </c>
      <c r="O32" s="189" t="s">
        <v>537</v>
      </c>
      <c r="P32" s="4" t="s">
        <v>119</v>
      </c>
      <c r="Q32" s="1" t="s">
        <v>538</v>
      </c>
      <c r="R32" s="1"/>
      <c r="S32" s="1"/>
      <c r="T32" s="427">
        <v>9</v>
      </c>
      <c r="U32" s="440">
        <v>1.67</v>
      </c>
      <c r="V32" s="189"/>
      <c r="W32" s="4" t="s">
        <v>119</v>
      </c>
      <c r="X32" s="457">
        <f>IF(C15&lt;&gt;"",100*($Q$30/$Q$34),"")</f>
        <v>10.79999999999988</v>
      </c>
      <c r="Y32" s="117"/>
    </row>
    <row r="33" spans="1:25" ht="18" customHeight="1">
      <c r="A33" s="572">
        <f>A32+1</f>
        <v>18</v>
      </c>
      <c r="B33" s="561" t="s">
        <v>539</v>
      </c>
      <c r="C33" s="561"/>
      <c r="D33" s="561"/>
      <c r="E33" s="561"/>
      <c r="F33" s="561"/>
      <c r="G33" s="561"/>
      <c r="H33" s="561"/>
      <c r="I33" s="561"/>
      <c r="J33" s="561"/>
      <c r="K33" s="561"/>
      <c r="L33" s="561"/>
      <c r="M33" s="495" t="s">
        <v>540</v>
      </c>
      <c r="N33" s="562">
        <f>IF(C15&lt;&gt;"",MAX(N18,N23,N28)-MIN(N18,N23,N28),"")</f>
        <v>1.6666666666667052E-3</v>
      </c>
      <c r="O33" s="189"/>
      <c r="P33" s="442" t="s">
        <v>119</v>
      </c>
      <c r="Q33" s="437" t="str">
        <f>CONCATENATE(J9," - ",I9)</f>
        <v>1.37 - 1.17</v>
      </c>
      <c r="R33" s="1"/>
      <c r="S33" s="1"/>
      <c r="T33" s="431">
        <v>10</v>
      </c>
      <c r="U33" s="443">
        <v>1.62</v>
      </c>
      <c r="V33" s="192"/>
      <c r="W33" s="1"/>
      <c r="X33" s="1"/>
      <c r="Y33" s="117"/>
    </row>
    <row r="34" spans="1:25" ht="18" customHeight="1">
      <c r="A34" s="572">
        <f>A33+1</f>
        <v>19</v>
      </c>
      <c r="B34" s="573" t="s">
        <v>541</v>
      </c>
      <c r="C34" s="561"/>
      <c r="D34" s="561"/>
      <c r="E34" s="563" t="str">
        <f>IF(C15="","",IF(OR(G34&lt;&gt;"",H34&lt;&gt;"",I34&lt;&gt;""),"APPRAISER",""))</f>
        <v/>
      </c>
      <c r="F34" s="564"/>
      <c r="G34" s="565" t="str">
        <f>IF(C15="","",IF(OR(AND($C19&lt;&gt;"",$C19&gt;$N$34),AND($D19&lt;&gt;"",$D19&gt;$N$34),AND($E19&lt;&gt;"",$E19&gt;$N$34),AND($F19&lt;&gt;"",$F19&gt;$N$34),AND($G19&lt;&gt;"",$G19&gt;$N$34),AND($H19&lt;&gt;"",$H19&gt;$N$34),AND($I19&lt;&gt;"",$I19&gt;$N$34),AND($J19&lt;&gt;"",$J19&gt;$N$34),AND($K19&lt;&gt;"",$K19&gt;$N$34),AND($L19&lt;&gt;"",$L19&gt;$N$34)),"A",""))</f>
        <v/>
      </c>
      <c r="H34" s="565" t="str">
        <f>IF(C15="","",IF(OR(AND($C24&lt;&gt;"",$C24&gt;$N$34),AND($D24&lt;&gt;"",$D24&gt;$N$34),AND($E24&lt;&gt;"",$E24&gt;$N$34),AND($F24&lt;&gt;"",$F24&gt;$N$34),AND($G24&lt;&gt;"",$G24&gt;$N$34),AND($H24&lt;&gt;"",$H24&gt;$N$34),AND($I24&lt;&gt;"",$I24&gt;$N$34),AND($J24&lt;&gt;"",$J24&gt;$N$34),AND($K24&lt;&gt;"",$K24&gt;$N$34),AND($L24&lt;&gt;"",$L24&gt;$N$34)),"B",""))</f>
        <v/>
      </c>
      <c r="I34" s="565" t="str">
        <f>IF(C15="","",IF(OR(AND($C29&lt;&gt;"",$C29&gt;$N$34),AND($D29&lt;&gt;"",$D29&gt;$N$34),AND($E29&lt;&gt;"",$E29&gt;$N$34),AND($F29&lt;&gt;"",$F29&gt;$N$34),AND($G29&lt;&gt;"",$G29&gt;$N$34),AND($H29&lt;&gt;"",$H29&gt;$N$34),AND($I29&lt;&gt;"",$I29&gt;$N$34),AND($J29&lt;&gt;"",$J29&gt;$N$34),AND($K29&lt;&gt;"",$K29&gt;$N$34),AND($L29&lt;&gt;"",$L29&gt;$N$34)),"C",""))</f>
        <v/>
      </c>
      <c r="J34" s="564" t="str">
        <f>IF(C15="","",IF(OR(G34&lt;&gt;"",H34&lt;&gt;"",I34&lt;&gt;""),"OUT OF CONTROL",""))</f>
        <v/>
      </c>
      <c r="K34" s="561"/>
      <c r="L34" s="561"/>
      <c r="M34" s="497" t="s">
        <v>542</v>
      </c>
      <c r="N34" s="562">
        <f>IF(C15&lt;&gt;"",IF(N11=3,2.58*N32,3.27*N32),"")</f>
        <v>2.6946666666666678E-2</v>
      </c>
      <c r="O34" s="441"/>
      <c r="P34" s="444" t="s">
        <v>119</v>
      </c>
      <c r="Q34" s="196">
        <f>IF(C15&lt;&gt;"",J9-I9,"")</f>
        <v>0.20000000000000018</v>
      </c>
      <c r="R34" s="119"/>
      <c r="S34" s="119"/>
      <c r="T34" s="119"/>
      <c r="U34" s="119"/>
      <c r="V34" s="194"/>
      <c r="W34" s="119"/>
      <c r="X34" s="119"/>
      <c r="Y34" s="120"/>
    </row>
    <row r="35" spans="1:25" ht="18" customHeight="1" thickBot="1">
      <c r="A35" s="574">
        <f>A34+1</f>
        <v>20</v>
      </c>
      <c r="B35" s="575" t="s">
        <v>543</v>
      </c>
      <c r="C35" s="122"/>
      <c r="D35" s="122"/>
      <c r="E35" s="122"/>
      <c r="F35" s="122"/>
      <c r="G35" s="122"/>
      <c r="H35" s="122"/>
      <c r="I35" s="122"/>
      <c r="J35" s="122"/>
      <c r="K35" s="122"/>
      <c r="L35" s="122"/>
      <c r="M35" s="498" t="s">
        <v>544</v>
      </c>
      <c r="N35" s="566">
        <f>IF(C15&lt;&gt;"",0,"")</f>
        <v>0</v>
      </c>
      <c r="O35" s="4"/>
      <c r="P35" s="442"/>
      <c r="Q35" s="197"/>
      <c r="R35" s="1"/>
      <c r="S35" s="1"/>
      <c r="T35" s="1"/>
      <c r="U35" s="1"/>
    </row>
    <row r="36" spans="1:25" ht="18" customHeight="1">
      <c r="A36" s="330"/>
      <c r="B36" s="331"/>
      <c r="C36" s="331"/>
      <c r="D36" s="331"/>
      <c r="E36" s="331"/>
      <c r="F36" s="331"/>
      <c r="G36" s="331"/>
      <c r="H36" s="331"/>
      <c r="I36" s="331"/>
      <c r="J36" s="331"/>
      <c r="K36" s="331"/>
      <c r="L36" s="331"/>
      <c r="M36" s="331"/>
      <c r="N36" s="460"/>
      <c r="O36" s="817" t="s">
        <v>545</v>
      </c>
      <c r="P36" s="818"/>
      <c r="Q36" s="818"/>
      <c r="R36" s="818"/>
      <c r="S36" s="818"/>
      <c r="T36" s="818"/>
      <c r="U36" s="818"/>
      <c r="V36" s="818"/>
      <c r="W36" s="818"/>
      <c r="X36" s="818"/>
      <c r="Y36" s="819"/>
    </row>
    <row r="37" spans="1:25">
      <c r="A37" s="809" t="s">
        <v>546</v>
      </c>
      <c r="B37" s="810"/>
      <c r="C37" s="810"/>
      <c r="D37" s="810"/>
      <c r="E37" s="810"/>
      <c r="F37" s="810"/>
      <c r="G37" s="810"/>
      <c r="H37" s="810"/>
      <c r="I37" s="810"/>
      <c r="J37" s="810"/>
      <c r="K37" s="810"/>
      <c r="L37" s="810"/>
      <c r="M37" s="810"/>
      <c r="N37" s="811"/>
      <c r="O37" s="820" t="s">
        <v>547</v>
      </c>
      <c r="P37" s="810"/>
      <c r="Q37" s="810"/>
      <c r="R37" s="810"/>
      <c r="S37" s="810"/>
      <c r="T37" s="810"/>
      <c r="U37" s="810"/>
      <c r="V37" s="810"/>
      <c r="W37" s="810"/>
      <c r="X37" s="810"/>
      <c r="Y37" s="821"/>
    </row>
    <row r="38" spans="1:25">
      <c r="A38" s="809" t="s">
        <v>548</v>
      </c>
      <c r="B38" s="810"/>
      <c r="C38" s="810"/>
      <c r="D38" s="810"/>
      <c r="E38" s="810"/>
      <c r="F38" s="810"/>
      <c r="G38" s="810"/>
      <c r="H38" s="810"/>
      <c r="I38" s="810"/>
      <c r="J38" s="810"/>
      <c r="K38" s="810"/>
      <c r="L38" s="810"/>
      <c r="M38" s="810"/>
      <c r="N38" s="811"/>
      <c r="O38" s="1"/>
      <c r="P38" s="810" t="s">
        <v>549</v>
      </c>
      <c r="Q38" s="810"/>
      <c r="R38" s="810"/>
      <c r="S38" s="810"/>
      <c r="T38" s="810"/>
      <c r="U38" s="810"/>
      <c r="V38" s="810"/>
      <c r="W38" s="810"/>
      <c r="X38" s="810"/>
      <c r="Y38" s="821"/>
    </row>
    <row r="39" spans="1:25">
      <c r="A39" s="809" t="s">
        <v>550</v>
      </c>
      <c r="B39" s="810"/>
      <c r="C39" s="810"/>
      <c r="D39" s="810"/>
      <c r="E39" s="810"/>
      <c r="F39" s="810"/>
      <c r="G39" s="810"/>
      <c r="H39" s="810"/>
      <c r="I39" s="810"/>
      <c r="J39" s="810"/>
      <c r="K39" s="810"/>
      <c r="L39" s="810"/>
      <c r="M39" s="810"/>
      <c r="N39" s="811"/>
      <c r="O39" s="820" t="s">
        <v>551</v>
      </c>
      <c r="P39" s="810"/>
      <c r="Q39" s="810"/>
      <c r="R39" s="810"/>
      <c r="S39" s="810"/>
      <c r="T39" s="810"/>
      <c r="U39" s="810"/>
      <c r="V39" s="810"/>
      <c r="W39" s="810"/>
      <c r="X39" s="810"/>
      <c r="Y39" s="821"/>
    </row>
    <row r="40" spans="1:25">
      <c r="A40" s="333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17"/>
      <c r="O40" s="820" t="s">
        <v>552</v>
      </c>
      <c r="P40" s="810"/>
      <c r="Q40" s="810"/>
      <c r="R40" s="810"/>
      <c r="S40" s="810"/>
      <c r="T40" s="810"/>
      <c r="U40" s="810"/>
      <c r="V40" s="810"/>
      <c r="W40" s="810"/>
      <c r="X40" s="810"/>
      <c r="Y40" s="821"/>
    </row>
    <row r="41" spans="1:25">
      <c r="A41" s="447" t="s">
        <v>553</v>
      </c>
      <c r="B41" s="815"/>
      <c r="C41" s="815"/>
      <c r="D41" s="815"/>
      <c r="E41" s="815"/>
      <c r="F41" s="815"/>
      <c r="G41" s="815"/>
      <c r="H41" s="815"/>
      <c r="I41" s="815"/>
      <c r="J41" s="815"/>
      <c r="K41" s="815"/>
      <c r="L41" s="815"/>
      <c r="M41" s="815"/>
      <c r="N41" s="816"/>
      <c r="O41" s="820" t="s">
        <v>554</v>
      </c>
      <c r="P41" s="810"/>
      <c r="Q41" s="810"/>
      <c r="R41" s="810"/>
      <c r="S41" s="810"/>
      <c r="T41" s="810"/>
      <c r="U41" s="810"/>
      <c r="V41" s="810"/>
      <c r="W41" s="810"/>
      <c r="X41" s="810"/>
      <c r="Y41" s="821"/>
    </row>
    <row r="42" spans="1:25" ht="13.5" thickBot="1">
      <c r="A42" s="337"/>
      <c r="B42" s="325"/>
      <c r="C42" s="325"/>
      <c r="D42" s="325"/>
      <c r="E42" s="325"/>
      <c r="F42" s="325"/>
      <c r="G42" s="325"/>
      <c r="H42" s="325"/>
      <c r="I42" s="325"/>
      <c r="J42" s="325"/>
      <c r="K42" s="325"/>
      <c r="L42" s="325"/>
      <c r="M42" s="325"/>
      <c r="N42" s="461"/>
      <c r="O42" s="812" t="s">
        <v>555</v>
      </c>
      <c r="P42" s="813"/>
      <c r="Q42" s="813"/>
      <c r="R42" s="813"/>
      <c r="S42" s="813"/>
      <c r="T42" s="813"/>
      <c r="U42" s="813"/>
      <c r="V42" s="813"/>
      <c r="W42" s="813"/>
      <c r="X42" s="813"/>
      <c r="Y42" s="814"/>
    </row>
  </sheetData>
  <mergeCells count="45">
    <mergeCell ref="O40:Y40"/>
    <mergeCell ref="O41:Y41"/>
    <mergeCell ref="V28:Y28"/>
    <mergeCell ref="A37:N37"/>
    <mergeCell ref="A38:N38"/>
    <mergeCell ref="A39:N39"/>
    <mergeCell ref="O42:Y42"/>
    <mergeCell ref="B41:N41"/>
    <mergeCell ref="O36:Y36"/>
    <mergeCell ref="O37:Y37"/>
    <mergeCell ref="P38:Y38"/>
    <mergeCell ref="O39:Y39"/>
    <mergeCell ref="N10:O10"/>
    <mergeCell ref="N11:O11"/>
    <mergeCell ref="N7:Q7"/>
    <mergeCell ref="N9:Q9"/>
    <mergeCell ref="P10:Q10"/>
    <mergeCell ref="P11:Q11"/>
    <mergeCell ref="D9:H9"/>
    <mergeCell ref="D5:J5"/>
    <mergeCell ref="D7:J7"/>
    <mergeCell ref="N4:O4"/>
    <mergeCell ref="N5:Q5"/>
    <mergeCell ref="N6:O6"/>
    <mergeCell ref="N8:O8"/>
    <mergeCell ref="A1:N1"/>
    <mergeCell ref="A2:N2"/>
    <mergeCell ref="O1:Y1"/>
    <mergeCell ref="O2:Y2"/>
    <mergeCell ref="W8:Y8"/>
    <mergeCell ref="W10:Y10"/>
    <mergeCell ref="U4:V4"/>
    <mergeCell ref="U6:V6"/>
    <mergeCell ref="U8:V8"/>
    <mergeCell ref="U10:V10"/>
    <mergeCell ref="M3:N3"/>
    <mergeCell ref="W11:Y11"/>
    <mergeCell ref="D10:J10"/>
    <mergeCell ref="D6:E6"/>
    <mergeCell ref="D11:J11"/>
    <mergeCell ref="I8:J8"/>
    <mergeCell ref="D8:H8"/>
    <mergeCell ref="U11:V11"/>
    <mergeCell ref="W4:Y4"/>
    <mergeCell ref="W6:Y6"/>
  </mergeCells>
  <phoneticPr fontId="10" type="noConversion"/>
  <conditionalFormatting sqref="V28:Y28">
    <cfRule type="cellIs" dxfId="11" priority="1" stopIfTrue="1" operator="equal">
      <formula>"Gage System O.K."</formula>
    </cfRule>
    <cfRule type="cellIs" dxfId="10" priority="2" stopIfTrue="1" operator="equal">
      <formula>"Gage System may be acceptable"</formula>
    </cfRule>
    <cfRule type="cellIs" dxfId="9" priority="3" stopIfTrue="1" operator="equal">
      <formula>"Gage System needs improvement"</formula>
    </cfRule>
  </conditionalFormatting>
  <pageMargins left="0.75" right="0.75" top="1" bottom="1" header="0.5" footer="0.5"/>
  <pageSetup scale="66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7B44-693A-4403-A2A2-958ADB91B535}">
  <sheetPr>
    <pageSetUpPr fitToPage="1"/>
  </sheetPr>
  <dimension ref="A1:Z42"/>
  <sheetViews>
    <sheetView topLeftCell="A16" workbookViewId="0">
      <selection activeCell="K28" sqref="K28"/>
    </sheetView>
  </sheetViews>
  <sheetFormatPr defaultRowHeight="12.75"/>
  <cols>
    <col min="1" max="1" width="7.5703125" customWidth="1"/>
    <col min="2" max="2" width="4.85546875" customWidth="1"/>
    <col min="3" max="3" width="7" customWidth="1"/>
    <col min="4" max="13" width="6.28515625" customWidth="1"/>
    <col min="14" max="14" width="6.7109375" customWidth="1"/>
    <col min="15" max="16" width="7.7109375" customWidth="1"/>
    <col min="17" max="17" width="15.7109375" customWidth="1"/>
    <col min="18" max="21" width="7.7109375" customWidth="1"/>
    <col min="22" max="22" width="9.28515625" customWidth="1"/>
    <col min="23" max="23" width="8.28515625" customWidth="1"/>
    <col min="24" max="25" width="9.28515625" customWidth="1"/>
  </cols>
  <sheetData>
    <row r="1" spans="1:26" ht="18">
      <c r="A1" s="839" t="s">
        <v>482</v>
      </c>
      <c r="B1" s="840"/>
      <c r="C1" s="840"/>
      <c r="D1" s="840"/>
      <c r="E1" s="840"/>
      <c r="F1" s="840"/>
      <c r="G1" s="840"/>
      <c r="H1" s="840"/>
      <c r="I1" s="840"/>
      <c r="J1" s="840"/>
      <c r="K1" s="840"/>
      <c r="L1" s="840"/>
      <c r="M1" s="840"/>
      <c r="N1" s="841"/>
      <c r="O1" s="839" t="s">
        <v>482</v>
      </c>
      <c r="P1" s="840"/>
      <c r="Q1" s="840"/>
      <c r="R1" s="840"/>
      <c r="S1" s="840"/>
      <c r="T1" s="840"/>
      <c r="U1" s="840"/>
      <c r="V1" s="840"/>
      <c r="W1" s="840"/>
      <c r="X1" s="840"/>
      <c r="Y1" s="841"/>
    </row>
    <row r="2" spans="1:26" ht="18.75" thickBot="1">
      <c r="A2" s="842" t="s">
        <v>483</v>
      </c>
      <c r="B2" s="843"/>
      <c r="C2" s="843"/>
      <c r="D2" s="843"/>
      <c r="E2" s="843"/>
      <c r="F2" s="843"/>
      <c r="G2" s="843"/>
      <c r="H2" s="843"/>
      <c r="I2" s="843"/>
      <c r="J2" s="843"/>
      <c r="K2" s="843"/>
      <c r="L2" s="843"/>
      <c r="M2" s="843"/>
      <c r="N2" s="844"/>
      <c r="O2" s="842" t="s">
        <v>483</v>
      </c>
      <c r="P2" s="843"/>
      <c r="Q2" s="843"/>
      <c r="R2" s="843"/>
      <c r="S2" s="843"/>
      <c r="T2" s="843"/>
      <c r="U2" s="843"/>
      <c r="V2" s="843"/>
      <c r="W2" s="843"/>
      <c r="X2" s="843"/>
      <c r="Y2" s="844"/>
    </row>
    <row r="3" spans="1:26" ht="13.5" thickBot="1">
      <c r="H3" s="122"/>
      <c r="I3" s="122"/>
      <c r="J3" s="122"/>
      <c r="K3" s="122"/>
      <c r="L3" s="122"/>
      <c r="M3" s="775"/>
      <c r="N3" s="775"/>
      <c r="O3" s="122"/>
      <c r="P3" s="122"/>
      <c r="Q3" s="122"/>
      <c r="R3" s="1"/>
      <c r="S3" s="1"/>
      <c r="T3" s="1"/>
      <c r="U3" s="1"/>
      <c r="V3" s="1"/>
      <c r="W3" s="1"/>
      <c r="X3" s="1"/>
      <c r="Y3" s="1"/>
    </row>
    <row r="4" spans="1:26" s="160" customFormat="1">
      <c r="D4" s="450" t="s">
        <v>37</v>
      </c>
      <c r="E4" s="342"/>
      <c r="F4" s="453"/>
      <c r="G4" s="453"/>
      <c r="H4" s="453"/>
      <c r="I4" s="453"/>
      <c r="J4" s="454"/>
      <c r="K4" s="212"/>
      <c r="L4" s="212"/>
      <c r="M4" s="212"/>
      <c r="N4" s="782" t="s">
        <v>556</v>
      </c>
      <c r="O4" s="783"/>
      <c r="P4" s="445"/>
      <c r="Q4" s="446"/>
      <c r="R4" s="216"/>
      <c r="S4" s="216"/>
      <c r="T4" s="216"/>
      <c r="U4" s="782" t="s">
        <v>141</v>
      </c>
      <c r="V4" s="798"/>
      <c r="W4" s="792"/>
      <c r="X4" s="793"/>
      <c r="Y4" s="794"/>
      <c r="Z4" s="296"/>
    </row>
    <row r="5" spans="1:26" ht="13.5" thickBot="1">
      <c r="D5" s="784"/>
      <c r="E5" s="785"/>
      <c r="F5" s="785"/>
      <c r="G5" s="785"/>
      <c r="H5" s="785"/>
      <c r="I5" s="785"/>
      <c r="J5" s="786"/>
      <c r="K5" s="212"/>
      <c r="L5" s="212"/>
      <c r="M5" s="212"/>
      <c r="N5" s="799"/>
      <c r="O5" s="800"/>
      <c r="P5" s="800"/>
      <c r="Q5" s="801"/>
      <c r="R5" s="216"/>
      <c r="S5" s="216"/>
      <c r="T5" s="216"/>
      <c r="U5" s="455"/>
      <c r="V5" s="449"/>
      <c r="W5" s="456"/>
      <c r="X5" s="448"/>
      <c r="Y5" s="449"/>
      <c r="Z5" s="1"/>
    </row>
    <row r="6" spans="1:26" s="160" customFormat="1">
      <c r="D6" s="782" t="s">
        <v>13</v>
      </c>
      <c r="E6" s="783"/>
      <c r="F6" s="453"/>
      <c r="G6" s="453"/>
      <c r="H6" s="453"/>
      <c r="I6" s="453"/>
      <c r="J6" s="454"/>
      <c r="K6" s="212"/>
      <c r="L6" s="212"/>
      <c r="M6" s="212"/>
      <c r="N6" s="802" t="s">
        <v>557</v>
      </c>
      <c r="O6" s="803"/>
      <c r="P6" s="445"/>
      <c r="Q6" s="446"/>
      <c r="R6" s="216"/>
      <c r="S6" s="216"/>
      <c r="T6" s="216"/>
      <c r="U6" s="782" t="s">
        <v>142</v>
      </c>
      <c r="V6" s="798"/>
      <c r="W6" s="792"/>
      <c r="X6" s="793"/>
      <c r="Y6" s="794"/>
      <c r="Z6" s="296"/>
    </row>
    <row r="7" spans="1:26" ht="13.5" thickBot="1">
      <c r="D7" s="784"/>
      <c r="E7" s="785"/>
      <c r="F7" s="785"/>
      <c r="G7" s="785"/>
      <c r="H7" s="785"/>
      <c r="I7" s="785"/>
      <c r="J7" s="786"/>
      <c r="K7" s="212"/>
      <c r="L7" s="212"/>
      <c r="M7" s="212"/>
      <c r="N7" s="799"/>
      <c r="O7" s="800"/>
      <c r="P7" s="800"/>
      <c r="Q7" s="801"/>
      <c r="R7" s="216"/>
      <c r="S7" s="216"/>
      <c r="T7" s="216"/>
      <c r="U7" s="455"/>
      <c r="V7" s="449"/>
      <c r="W7" s="456"/>
      <c r="X7" s="448"/>
      <c r="Y7" s="449"/>
      <c r="Z7" s="1"/>
    </row>
    <row r="8" spans="1:26" s="160" customFormat="1">
      <c r="D8" s="787" t="s">
        <v>100</v>
      </c>
      <c r="E8" s="789"/>
      <c r="F8" s="789"/>
      <c r="G8" s="789"/>
      <c r="H8" s="789"/>
      <c r="I8" s="787" t="s">
        <v>485</v>
      </c>
      <c r="J8" s="788"/>
      <c r="K8" s="212"/>
      <c r="L8" s="212"/>
      <c r="M8" s="212"/>
      <c r="N8" s="802" t="s">
        <v>558</v>
      </c>
      <c r="O8" s="803"/>
      <c r="P8" s="445"/>
      <c r="Q8" s="446"/>
      <c r="R8" s="216"/>
      <c r="S8" s="212"/>
      <c r="T8" s="216"/>
      <c r="U8" s="782" t="s">
        <v>145</v>
      </c>
      <c r="V8" s="798"/>
      <c r="W8" s="792"/>
      <c r="X8" s="793"/>
      <c r="Y8" s="794"/>
      <c r="Z8" s="296"/>
    </row>
    <row r="9" spans="1:26" ht="13.5" thickBot="1">
      <c r="D9" s="799"/>
      <c r="E9" s="800"/>
      <c r="F9" s="800"/>
      <c r="G9" s="800"/>
      <c r="H9" s="800"/>
      <c r="I9" s="500"/>
      <c r="J9" s="501"/>
      <c r="K9" s="212"/>
      <c r="L9" s="212"/>
      <c r="M9" s="212"/>
      <c r="N9" s="799"/>
      <c r="O9" s="800"/>
      <c r="P9" s="800"/>
      <c r="Q9" s="801"/>
      <c r="R9" s="216"/>
      <c r="S9" s="216"/>
      <c r="T9" s="216"/>
      <c r="U9" s="455"/>
      <c r="V9" s="449"/>
      <c r="W9" s="456"/>
      <c r="X9" s="448"/>
      <c r="Y9" s="449"/>
      <c r="Z9" s="1"/>
    </row>
    <row r="10" spans="1:26">
      <c r="D10" s="779" t="s">
        <v>488</v>
      </c>
      <c r="E10" s="780"/>
      <c r="F10" s="780"/>
      <c r="G10" s="780"/>
      <c r="H10" s="780"/>
      <c r="I10" s="780"/>
      <c r="J10" s="781"/>
      <c r="K10" s="212"/>
      <c r="L10" s="212"/>
      <c r="M10" s="212"/>
      <c r="N10" s="787" t="s">
        <v>489</v>
      </c>
      <c r="O10" s="788"/>
      <c r="P10" s="787" t="s">
        <v>209</v>
      </c>
      <c r="Q10" s="788"/>
      <c r="R10" s="216"/>
      <c r="S10" s="216"/>
      <c r="T10" s="216"/>
      <c r="U10" s="787" t="s">
        <v>490</v>
      </c>
      <c r="V10" s="788"/>
      <c r="W10" s="787" t="s">
        <v>99</v>
      </c>
      <c r="X10" s="789"/>
      <c r="Y10" s="788"/>
      <c r="Z10" s="296"/>
    </row>
    <row r="11" spans="1:26" ht="13.5" thickBot="1">
      <c r="D11" s="784"/>
      <c r="E11" s="785"/>
      <c r="F11" s="785"/>
      <c r="G11" s="785"/>
      <c r="H11" s="785"/>
      <c r="I11" s="785"/>
      <c r="J11" s="786"/>
      <c r="K11" s="212"/>
      <c r="L11" s="212"/>
      <c r="M11" s="212"/>
      <c r="N11" s="845">
        <f>COUNT(C15:C17)</f>
        <v>0</v>
      </c>
      <c r="O11" s="846"/>
      <c r="P11" s="790"/>
      <c r="Q11" s="791"/>
      <c r="R11" s="395"/>
      <c r="S11" s="395"/>
      <c r="T11" s="395"/>
      <c r="U11" s="845">
        <f>COUNTA(W4,W6,W8)</f>
        <v>0</v>
      </c>
      <c r="V11" s="846"/>
      <c r="W11" s="776"/>
      <c r="X11" s="777"/>
      <c r="Y11" s="778"/>
      <c r="Z11" s="1"/>
    </row>
    <row r="12" spans="1:26" ht="13.5" thickBot="1">
      <c r="A12" s="1"/>
      <c r="B12" s="1"/>
      <c r="C12" s="1"/>
      <c r="D12" s="396" t="str">
        <f>IF(I9&gt;J9,"ENTER LOWER SPECIFICATION IN D11 AND UPPER IN E11","")</f>
        <v/>
      </c>
      <c r="E12" s="1"/>
      <c r="F12" s="1"/>
      <c r="G12" s="4"/>
      <c r="H12" s="1"/>
      <c r="I12" s="4"/>
      <c r="J12" s="1"/>
      <c r="K12" s="4"/>
      <c r="L12" s="1"/>
      <c r="M12" s="1"/>
      <c r="N12" s="1"/>
      <c r="O12" s="1"/>
      <c r="P12" s="1"/>
      <c r="Q12" s="1"/>
      <c r="R12" s="1"/>
      <c r="S12" s="4"/>
      <c r="T12" s="1"/>
      <c r="U12" s="4"/>
      <c r="V12" s="1"/>
      <c r="W12" s="4"/>
      <c r="X12" s="1"/>
      <c r="Y12" s="1"/>
      <c r="Z12" s="1"/>
    </row>
    <row r="13" spans="1:26" ht="15.75">
      <c r="A13" s="822" t="s">
        <v>491</v>
      </c>
      <c r="B13" s="823"/>
      <c r="C13" s="826" t="s">
        <v>150</v>
      </c>
      <c r="D13" s="827"/>
      <c r="E13" s="827"/>
      <c r="F13" s="827"/>
      <c r="G13" s="827"/>
      <c r="H13" s="827"/>
      <c r="I13" s="827"/>
      <c r="J13" s="827"/>
      <c r="K13" s="827"/>
      <c r="L13" s="828"/>
      <c r="M13" s="829" t="s">
        <v>492</v>
      </c>
      <c r="N13" s="830"/>
      <c r="O13" s="833" t="s">
        <v>115</v>
      </c>
      <c r="P13" s="834"/>
      <c r="Q13" s="834"/>
      <c r="R13" s="834"/>
      <c r="S13" s="834"/>
      <c r="T13" s="834"/>
      <c r="U13" s="835"/>
      <c r="V13" s="836" t="s">
        <v>493</v>
      </c>
      <c r="W13" s="837"/>
      <c r="X13" s="837"/>
      <c r="Y13" s="838"/>
    </row>
    <row r="14" spans="1:26" ht="15.75" customHeight="1" thickBot="1">
      <c r="A14" s="824" t="s">
        <v>494</v>
      </c>
      <c r="B14" s="825"/>
      <c r="C14" s="506">
        <v>1</v>
      </c>
      <c r="D14" s="506">
        <v>2</v>
      </c>
      <c r="E14" s="506">
        <v>3</v>
      </c>
      <c r="F14" s="506">
        <v>4</v>
      </c>
      <c r="G14" s="506">
        <v>5</v>
      </c>
      <c r="H14" s="506">
        <v>6</v>
      </c>
      <c r="I14" s="506">
        <v>7</v>
      </c>
      <c r="J14" s="506">
        <v>8</v>
      </c>
      <c r="K14" s="506">
        <v>9</v>
      </c>
      <c r="L14" s="506">
        <v>10</v>
      </c>
      <c r="M14" s="831"/>
      <c r="N14" s="832"/>
      <c r="O14" s="465" t="s">
        <v>495</v>
      </c>
      <c r="P14" s="417"/>
      <c r="Q14" s="417"/>
      <c r="R14" s="417"/>
      <c r="S14" s="417"/>
      <c r="T14" s="417"/>
      <c r="U14" s="417"/>
      <c r="V14" s="477"/>
      <c r="W14" s="417"/>
      <c r="X14" s="417"/>
      <c r="Y14" s="466"/>
    </row>
    <row r="15" spans="1:26" ht="18" customHeight="1">
      <c r="A15" s="420" t="s">
        <v>496</v>
      </c>
      <c r="B15" s="507">
        <v>1</v>
      </c>
      <c r="C15" s="502"/>
      <c r="D15" s="502"/>
      <c r="E15" s="502"/>
      <c r="F15" s="502"/>
      <c r="G15" s="502"/>
      <c r="H15" s="502"/>
      <c r="I15" s="502"/>
      <c r="J15" s="502"/>
      <c r="K15" s="502"/>
      <c r="L15" s="502"/>
      <c r="M15" s="479"/>
      <c r="N15" s="480" t="str">
        <f t="shared" ref="N15:N29" si="0">IF(C15&lt;&gt;"",AVERAGE(C15:L15),"")</f>
        <v/>
      </c>
      <c r="O15" s="451" t="s">
        <v>497</v>
      </c>
      <c r="P15" s="4" t="s">
        <v>119</v>
      </c>
      <c r="Q15" s="467" t="s">
        <v>498</v>
      </c>
      <c r="R15" s="1"/>
      <c r="S15" s="1"/>
      <c r="T15" s="423" t="s">
        <v>489</v>
      </c>
      <c r="U15" s="473" t="s">
        <v>566</v>
      </c>
      <c r="V15" s="451" t="s">
        <v>500</v>
      </c>
      <c r="W15" s="4" t="s">
        <v>119</v>
      </c>
      <c r="X15" s="1" t="s">
        <v>501</v>
      </c>
      <c r="Y15" s="334"/>
    </row>
    <row r="16" spans="1:26" ht="18" customHeight="1" thickBot="1">
      <c r="A16" s="425">
        <v>2</v>
      </c>
      <c r="B16" s="508">
        <v>2</v>
      </c>
      <c r="C16" s="503"/>
      <c r="D16" s="503"/>
      <c r="E16" s="503"/>
      <c r="F16" s="503"/>
      <c r="G16" s="503"/>
      <c r="H16" s="503"/>
      <c r="I16" s="503"/>
      <c r="J16" s="503"/>
      <c r="K16" s="503"/>
      <c r="L16" s="503"/>
      <c r="M16" s="481"/>
      <c r="N16" s="482" t="str">
        <f t="shared" si="0"/>
        <v/>
      </c>
      <c r="O16" s="333"/>
      <c r="P16" s="4" t="s">
        <v>119</v>
      </c>
      <c r="Q16" s="1" t="str">
        <f>IF(C15&lt;&gt;"",CONCATENATE(TEXT($N$32,"0.000")," x ",CHOOSE($N$11,0,U16,U17)),"")</f>
        <v/>
      </c>
      <c r="R16" s="1"/>
      <c r="S16" s="1"/>
      <c r="T16" s="427">
        <v>2</v>
      </c>
      <c r="U16" s="4">
        <v>4.5599999999999996</v>
      </c>
      <c r="V16" s="451"/>
      <c r="W16" s="4" t="s">
        <v>119</v>
      </c>
      <c r="X16" s="313" t="str">
        <f>IF(C15&lt;&gt;"",CONCATENATE("100(",TEXT($Q$17,"0.000"),"/",TEXT($Q$34,"0.000"),")"),"")</f>
        <v/>
      </c>
      <c r="Y16" s="334"/>
    </row>
    <row r="17" spans="1:25" ht="18" customHeight="1" thickBot="1">
      <c r="A17" s="429">
        <f>A16+1</f>
        <v>3</v>
      </c>
      <c r="B17" s="509">
        <v>3</v>
      </c>
      <c r="C17" s="503"/>
      <c r="D17" s="503"/>
      <c r="E17" s="503"/>
      <c r="F17" s="503"/>
      <c r="G17" s="503"/>
      <c r="H17" s="503"/>
      <c r="I17" s="503"/>
      <c r="J17" s="503"/>
      <c r="K17" s="503"/>
      <c r="L17" s="503"/>
      <c r="M17" s="481"/>
      <c r="N17" s="482" t="str">
        <f t="shared" si="0"/>
        <v/>
      </c>
      <c r="O17" s="335"/>
      <c r="P17" s="195" t="s">
        <v>119</v>
      </c>
      <c r="Q17" s="196" t="str">
        <f>IF(C15&lt;&gt;"",$N$32*(CHOOSE($N$11,0,U16,U17)),"")</f>
        <v/>
      </c>
      <c r="R17" s="119"/>
      <c r="S17" s="119"/>
      <c r="T17" s="431">
        <v>3</v>
      </c>
      <c r="U17" s="195">
        <v>3.05</v>
      </c>
      <c r="V17" s="335"/>
      <c r="W17" s="195" t="s">
        <v>119</v>
      </c>
      <c r="X17" s="457" t="str">
        <f>IF(C15&lt;&gt;"",100*($Q$17/$Q$34),"")</f>
        <v/>
      </c>
      <c r="Y17" s="336"/>
    </row>
    <row r="18" spans="1:25" ht="18" customHeight="1">
      <c r="A18" s="429">
        <f>A17+1</f>
        <v>4</v>
      </c>
      <c r="B18" s="509" t="s">
        <v>502</v>
      </c>
      <c r="C18" s="483" t="str">
        <f>IF(C15&lt;&gt;"",SUM(C15:C17)/COUNT(C15:C17),"")</f>
        <v/>
      </c>
      <c r="D18" s="483" t="str">
        <f t="shared" ref="D18:L18" si="1">IF(D15&lt;&gt;"",SUM(D15:D17)/COUNT(D15:D17),"")</f>
        <v/>
      </c>
      <c r="E18" s="483" t="str">
        <f t="shared" si="1"/>
        <v/>
      </c>
      <c r="F18" s="483" t="str">
        <f t="shared" si="1"/>
        <v/>
      </c>
      <c r="G18" s="483" t="str">
        <f t="shared" si="1"/>
        <v/>
      </c>
      <c r="H18" s="483" t="str">
        <f t="shared" si="1"/>
        <v/>
      </c>
      <c r="I18" s="483" t="str">
        <f t="shared" si="1"/>
        <v/>
      </c>
      <c r="J18" s="483" t="str">
        <f t="shared" si="1"/>
        <v/>
      </c>
      <c r="K18" s="483" t="str">
        <f t="shared" si="1"/>
        <v/>
      </c>
      <c r="L18" s="483" t="str">
        <f t="shared" si="1"/>
        <v/>
      </c>
      <c r="M18" s="484" t="s">
        <v>503</v>
      </c>
      <c r="N18" s="482" t="str">
        <f t="shared" si="0"/>
        <v/>
      </c>
      <c r="O18" s="468" t="s">
        <v>504</v>
      </c>
      <c r="P18" s="123"/>
      <c r="Q18" s="123"/>
      <c r="R18" s="123"/>
      <c r="S18" s="123"/>
      <c r="T18" s="123"/>
      <c r="U18" s="123"/>
      <c r="V18" s="478"/>
      <c r="W18" s="123"/>
      <c r="X18" s="1"/>
      <c r="Y18" s="469"/>
    </row>
    <row r="19" spans="1:25" ht="18" customHeight="1" thickBot="1">
      <c r="A19" s="432">
        <f>A18+1</f>
        <v>5</v>
      </c>
      <c r="B19" s="510" t="s">
        <v>120</v>
      </c>
      <c r="C19" s="485" t="str">
        <f>IF(C15&lt;&gt;"",MAX(C15:C17)-MIN(C15:C17),"")</f>
        <v/>
      </c>
      <c r="D19" s="485" t="str">
        <f t="shared" ref="D19:L19" si="2">IF(D15&lt;&gt;"",MAX(D15:D17)-MIN(D15:D17),"")</f>
        <v/>
      </c>
      <c r="E19" s="485" t="str">
        <f t="shared" si="2"/>
        <v/>
      </c>
      <c r="F19" s="485" t="str">
        <f t="shared" si="2"/>
        <v/>
      </c>
      <c r="G19" s="485" t="str">
        <f t="shared" si="2"/>
        <v/>
      </c>
      <c r="H19" s="485" t="str">
        <f t="shared" si="2"/>
        <v/>
      </c>
      <c r="I19" s="485" t="str">
        <f t="shared" si="2"/>
        <v/>
      </c>
      <c r="J19" s="485" t="str">
        <f t="shared" si="2"/>
        <v/>
      </c>
      <c r="K19" s="485" t="str">
        <f t="shared" si="2"/>
        <v/>
      </c>
      <c r="L19" s="485" t="str">
        <f t="shared" si="2"/>
        <v/>
      </c>
      <c r="M19" s="486" t="s">
        <v>505</v>
      </c>
      <c r="N19" s="482" t="str">
        <f t="shared" si="0"/>
        <v/>
      </c>
      <c r="O19" s="451" t="s">
        <v>506</v>
      </c>
      <c r="P19" s="4" t="s">
        <v>119</v>
      </c>
      <c r="Q19" s="1" t="s">
        <v>507</v>
      </c>
      <c r="R19" s="1"/>
      <c r="S19" s="1"/>
      <c r="T19" s="1"/>
      <c r="U19" s="1"/>
      <c r="V19" s="451" t="s">
        <v>508</v>
      </c>
      <c r="W19" s="4" t="s">
        <v>119</v>
      </c>
      <c r="X19" s="1" t="s">
        <v>509</v>
      </c>
      <c r="Y19" s="334"/>
    </row>
    <row r="20" spans="1:25" ht="18" customHeight="1" thickBot="1">
      <c r="A20" s="420" t="s">
        <v>510</v>
      </c>
      <c r="B20" s="507">
        <v>1</v>
      </c>
      <c r="C20" s="502"/>
      <c r="D20" s="502"/>
      <c r="E20" s="502"/>
      <c r="F20" s="504"/>
      <c r="G20" s="504"/>
      <c r="H20" s="502"/>
      <c r="I20" s="504"/>
      <c r="J20" s="502"/>
      <c r="K20" s="502"/>
      <c r="L20" s="502"/>
      <c r="M20" s="479"/>
      <c r="N20" s="480" t="str">
        <f t="shared" si="0"/>
        <v/>
      </c>
      <c r="O20" s="333"/>
      <c r="P20" s="4" t="s">
        <v>119</v>
      </c>
      <c r="Q20" s="126" t="str">
        <f>IF(C15&lt;&gt;"",CONCATENATE("{(",TEXT($N$33,"0.000")," x ",CHOOSE($U$11,0,T22,U22),")^2 - (",TEXT($Q$17,"0.000")," ^2/(",$P$11," x ",$N$11,"))}^1/2"),"")</f>
        <v/>
      </c>
      <c r="R20" s="1"/>
      <c r="S20" s="1"/>
      <c r="T20" s="1"/>
      <c r="U20" s="1"/>
      <c r="V20" s="451"/>
      <c r="W20" s="4" t="s">
        <v>119</v>
      </c>
      <c r="X20" s="1" t="str">
        <f>IF(C15&lt;&gt;"",CONCATENATE("100(",TEXT($Q$21,"0.000"),"/",TEXT($Q$34,"0.000"),")"),"")</f>
        <v/>
      </c>
      <c r="Y20" s="334"/>
    </row>
    <row r="21" spans="1:25" ht="18" customHeight="1" thickBot="1">
      <c r="A21" s="429">
        <v>7</v>
      </c>
      <c r="B21" s="508">
        <v>2</v>
      </c>
      <c r="C21" s="503"/>
      <c r="D21" s="503"/>
      <c r="E21" s="503"/>
      <c r="F21" s="505"/>
      <c r="G21" s="505"/>
      <c r="H21" s="503"/>
      <c r="I21" s="505"/>
      <c r="J21" s="503"/>
      <c r="K21" s="503"/>
      <c r="L21" s="503"/>
      <c r="M21" s="481"/>
      <c r="N21" s="482" t="str">
        <f t="shared" si="0"/>
        <v/>
      </c>
      <c r="O21" s="333"/>
      <c r="P21" s="4" t="s">
        <v>119</v>
      </c>
      <c r="Q21" s="435" t="str">
        <f>IF(C15="","",IF(($N$33*CHOOSE($U$11,0,T22,U22))^2-$Q$17^2/($P$11*$N$11)&lt;0,0,(($N$33*CHOOSE($U$11,0,T22,U22))^2-$Q$17^2/($P$11*$N$11))^(1/2)))</f>
        <v/>
      </c>
      <c r="R21" s="1"/>
      <c r="S21" s="436" t="s">
        <v>490</v>
      </c>
      <c r="T21" s="423">
        <v>2</v>
      </c>
      <c r="U21" s="474">
        <v>3</v>
      </c>
      <c r="V21" s="451"/>
      <c r="W21" s="4" t="s">
        <v>511</v>
      </c>
      <c r="X21" s="457" t="str">
        <f>IF(C15&lt;&gt;"",100*($Q$21/$Q$34),"")</f>
        <v/>
      </c>
      <c r="Y21" s="334"/>
    </row>
    <row r="22" spans="1:25" ht="18" customHeight="1">
      <c r="A22" s="429">
        <f>A21+1</f>
        <v>8</v>
      </c>
      <c r="B22" s="509">
        <v>3</v>
      </c>
      <c r="C22" s="503"/>
      <c r="D22" s="503"/>
      <c r="E22" s="503"/>
      <c r="F22" s="505"/>
      <c r="G22" s="505"/>
      <c r="H22" s="503"/>
      <c r="I22" s="505"/>
      <c r="J22" s="503"/>
      <c r="K22" s="503"/>
      <c r="L22" s="503"/>
      <c r="M22" s="481"/>
      <c r="N22" s="482" t="str">
        <f t="shared" si="0"/>
        <v/>
      </c>
      <c r="O22" s="335"/>
      <c r="P22" s="119"/>
      <c r="Q22" s="119"/>
      <c r="R22" s="119"/>
      <c r="S22" s="177" t="s">
        <v>512</v>
      </c>
      <c r="T22" s="177">
        <v>3.65</v>
      </c>
      <c r="U22" s="475">
        <v>2.7</v>
      </c>
      <c r="V22" s="333" t="s">
        <v>513</v>
      </c>
      <c r="W22" s="1"/>
      <c r="X22" s="1"/>
      <c r="Y22" s="334"/>
    </row>
    <row r="23" spans="1:25" ht="18" customHeight="1">
      <c r="A23" s="429">
        <f>A22+1</f>
        <v>9</v>
      </c>
      <c r="B23" s="509" t="s">
        <v>502</v>
      </c>
      <c r="C23" s="483" t="str">
        <f t="shared" ref="C23:L23" si="3">IF(C20&lt;&gt;"",SUM(C20:C22)/COUNT(C20:C22),"")</f>
        <v/>
      </c>
      <c r="D23" s="483" t="str">
        <f t="shared" si="3"/>
        <v/>
      </c>
      <c r="E23" s="483" t="str">
        <f t="shared" si="3"/>
        <v/>
      </c>
      <c r="F23" s="483" t="str">
        <f t="shared" si="3"/>
        <v/>
      </c>
      <c r="G23" s="483" t="str">
        <f t="shared" si="3"/>
        <v/>
      </c>
      <c r="H23" s="483" t="str">
        <f t="shared" si="3"/>
        <v/>
      </c>
      <c r="I23" s="483" t="str">
        <f t="shared" si="3"/>
        <v/>
      </c>
      <c r="J23" s="483" t="str">
        <f t="shared" si="3"/>
        <v/>
      </c>
      <c r="K23" s="483" t="str">
        <f t="shared" si="3"/>
        <v/>
      </c>
      <c r="L23" s="483" t="str">
        <f t="shared" si="3"/>
        <v/>
      </c>
      <c r="M23" s="484" t="s">
        <v>514</v>
      </c>
      <c r="N23" s="482" t="str">
        <f t="shared" si="0"/>
        <v/>
      </c>
      <c r="O23" s="468" t="s">
        <v>515</v>
      </c>
      <c r="P23" s="123"/>
      <c r="Q23" s="123"/>
      <c r="R23" s="123"/>
      <c r="S23" s="123"/>
      <c r="T23" s="123"/>
      <c r="U23" s="123"/>
      <c r="V23" s="335" t="s">
        <v>516</v>
      </c>
      <c r="W23" s="119"/>
      <c r="X23" s="119"/>
      <c r="Y23" s="336"/>
    </row>
    <row r="24" spans="1:25" ht="18" customHeight="1" thickBot="1">
      <c r="A24" s="432">
        <f>A23+1</f>
        <v>10</v>
      </c>
      <c r="B24" s="510" t="s">
        <v>120</v>
      </c>
      <c r="C24" s="485" t="str">
        <f t="shared" ref="C24:L24" si="4">IF(C20&lt;&gt;"",MAX(C20:C22)-MIN(C20:C22),"")</f>
        <v/>
      </c>
      <c r="D24" s="485" t="str">
        <f t="shared" si="4"/>
        <v/>
      </c>
      <c r="E24" s="485" t="str">
        <f t="shared" si="4"/>
        <v/>
      </c>
      <c r="F24" s="485" t="str">
        <f t="shared" si="4"/>
        <v/>
      </c>
      <c r="G24" s="485" t="str">
        <f t="shared" si="4"/>
        <v/>
      </c>
      <c r="H24" s="485" t="str">
        <f t="shared" si="4"/>
        <v/>
      </c>
      <c r="I24" s="485" t="str">
        <f t="shared" si="4"/>
        <v/>
      </c>
      <c r="J24" s="485" t="str">
        <f t="shared" si="4"/>
        <v/>
      </c>
      <c r="K24" s="485" t="str">
        <f t="shared" si="4"/>
        <v/>
      </c>
      <c r="L24" s="485" t="str">
        <f t="shared" si="4"/>
        <v/>
      </c>
      <c r="M24" s="486" t="s">
        <v>517</v>
      </c>
      <c r="N24" s="482" t="str">
        <f t="shared" si="0"/>
        <v/>
      </c>
      <c r="O24" s="451" t="s">
        <v>518</v>
      </c>
      <c r="P24" s="4" t="s">
        <v>119</v>
      </c>
      <c r="Q24" s="1" t="s">
        <v>519</v>
      </c>
      <c r="R24" s="1"/>
      <c r="S24" s="1"/>
      <c r="T24" s="423" t="s">
        <v>209</v>
      </c>
      <c r="U24" s="473" t="s">
        <v>520</v>
      </c>
      <c r="V24" s="478"/>
      <c r="W24" s="123"/>
      <c r="X24" s="123"/>
      <c r="Y24" s="469"/>
    </row>
    <row r="25" spans="1:25" ht="18" customHeight="1">
      <c r="A25" s="420" t="s">
        <v>521</v>
      </c>
      <c r="B25" s="507">
        <v>1</v>
      </c>
      <c r="C25" s="502"/>
      <c r="D25" s="502"/>
      <c r="E25" s="502"/>
      <c r="F25" s="504"/>
      <c r="G25" s="502"/>
      <c r="H25" s="502"/>
      <c r="I25" s="502"/>
      <c r="J25" s="502"/>
      <c r="K25" s="502"/>
      <c r="L25" s="502"/>
      <c r="M25" s="479"/>
      <c r="N25" s="480" t="str">
        <f t="shared" si="0"/>
        <v/>
      </c>
      <c r="O25" s="333"/>
      <c r="P25" s="4" t="s">
        <v>119</v>
      </c>
      <c r="Q25" s="439" t="str">
        <f>IF(C15&lt;&gt;"",CONCATENATE("{(",TEXT($Q$17,"0.000"),"^2 + ",TEXT($Q$21,"0.000"),"^2)}^1/2"),"")</f>
        <v/>
      </c>
      <c r="R25" s="1"/>
      <c r="S25" s="1"/>
      <c r="T25" s="427">
        <v>2</v>
      </c>
      <c r="U25" s="458">
        <v>3.65</v>
      </c>
      <c r="V25" s="451" t="s">
        <v>522</v>
      </c>
      <c r="W25" s="4" t="s">
        <v>119</v>
      </c>
      <c r="X25" s="1" t="s">
        <v>523</v>
      </c>
      <c r="Y25" s="334"/>
    </row>
    <row r="26" spans="1:25" ht="18" customHeight="1" thickBot="1">
      <c r="A26" s="429">
        <v>12</v>
      </c>
      <c r="B26" s="508">
        <v>2</v>
      </c>
      <c r="C26" s="503"/>
      <c r="D26" s="503"/>
      <c r="E26" s="503"/>
      <c r="F26" s="505"/>
      <c r="G26" s="503"/>
      <c r="H26" s="503"/>
      <c r="I26" s="503"/>
      <c r="J26" s="503"/>
      <c r="K26" s="503"/>
      <c r="L26" s="503"/>
      <c r="M26" s="481"/>
      <c r="N26" s="482" t="str">
        <f t="shared" si="0"/>
        <v/>
      </c>
      <c r="O26" s="335"/>
      <c r="P26" s="195" t="s">
        <v>119</v>
      </c>
      <c r="Q26" s="197" t="str">
        <f>IF(C15&lt;&gt;"",($Q$17^2+$Q$21^2)^(1/2),"")</f>
        <v/>
      </c>
      <c r="R26" s="119"/>
      <c r="S26" s="119"/>
      <c r="T26" s="427">
        <v>3</v>
      </c>
      <c r="U26" s="458">
        <v>2.7</v>
      </c>
      <c r="V26" s="451"/>
      <c r="W26" s="4" t="s">
        <v>119</v>
      </c>
      <c r="X26" s="1" t="str">
        <f>IF(C15&lt;&gt;"",CONCATENATE("100(",TEXT($Q$26,"0.000"),"/",TEXT($Q$34,"0.000"),")"),"")</f>
        <v/>
      </c>
      <c r="Y26" s="334"/>
    </row>
    <row r="27" spans="1:25" ht="18" customHeight="1" thickBot="1">
      <c r="A27" s="429">
        <f>A26+1</f>
        <v>13</v>
      </c>
      <c r="B27" s="509">
        <v>3</v>
      </c>
      <c r="C27" s="503"/>
      <c r="D27" s="503"/>
      <c r="E27" s="503"/>
      <c r="F27" s="505"/>
      <c r="G27" s="503"/>
      <c r="H27" s="503"/>
      <c r="I27" s="503"/>
      <c r="J27" s="503"/>
      <c r="K27" s="503"/>
      <c r="L27" s="503"/>
      <c r="M27" s="481"/>
      <c r="N27" s="482" t="str">
        <f t="shared" si="0"/>
        <v/>
      </c>
      <c r="O27" s="468" t="s">
        <v>524</v>
      </c>
      <c r="P27" s="123"/>
      <c r="Q27" s="123"/>
      <c r="R27" s="123"/>
      <c r="S27" s="123"/>
      <c r="T27" s="427">
        <v>4</v>
      </c>
      <c r="U27" s="458">
        <v>2.2999999999999998</v>
      </c>
      <c r="V27" s="451"/>
      <c r="W27" s="4" t="s">
        <v>119</v>
      </c>
      <c r="X27" s="459" t="str">
        <f>IF(C15&lt;&gt;"",100*($Q$26/$Q$34),"")</f>
        <v/>
      </c>
      <c r="Y27" s="334"/>
    </row>
    <row r="28" spans="1:25" ht="18" customHeight="1" thickBot="1">
      <c r="A28" s="429">
        <f>A27+1</f>
        <v>14</v>
      </c>
      <c r="B28" s="509" t="s">
        <v>502</v>
      </c>
      <c r="C28" s="483" t="str">
        <f t="shared" ref="C28:L28" si="5">IF(C25&lt;&gt;"",SUM(C25:C27)/COUNT(C25:C27),"")</f>
        <v/>
      </c>
      <c r="D28" s="483" t="str">
        <f t="shared" si="5"/>
        <v/>
      </c>
      <c r="E28" s="483" t="str">
        <f t="shared" si="5"/>
        <v/>
      </c>
      <c r="F28" s="483" t="str">
        <f t="shared" si="5"/>
        <v/>
      </c>
      <c r="G28" s="483" t="str">
        <f t="shared" si="5"/>
        <v/>
      </c>
      <c r="H28" s="483" t="str">
        <f t="shared" si="5"/>
        <v/>
      </c>
      <c r="I28" s="483" t="str">
        <f t="shared" si="5"/>
        <v/>
      </c>
      <c r="J28" s="483" t="str">
        <f t="shared" si="5"/>
        <v/>
      </c>
      <c r="K28" s="483" t="str">
        <f t="shared" si="5"/>
        <v/>
      </c>
      <c r="L28" s="483" t="str">
        <f t="shared" si="5"/>
        <v/>
      </c>
      <c r="M28" s="484" t="s">
        <v>525</v>
      </c>
      <c r="N28" s="482" t="str">
        <f t="shared" si="0"/>
        <v/>
      </c>
      <c r="O28" s="451" t="s">
        <v>526</v>
      </c>
      <c r="P28" s="4" t="s">
        <v>119</v>
      </c>
      <c r="Q28" s="1" t="s">
        <v>527</v>
      </c>
      <c r="R28" s="1"/>
      <c r="S28" s="1"/>
      <c r="T28" s="427">
        <v>5</v>
      </c>
      <c r="U28" s="458">
        <v>2.08</v>
      </c>
      <c r="V28" s="806" t="str">
        <f>IF(C16&lt;&gt;"",IF(X27&lt;10,"Gage System O.K.",IF(X27&lt;30,"Gage System may be acceptable","Gage System needs improvement")),"")</f>
        <v/>
      </c>
      <c r="W28" s="807"/>
      <c r="X28" s="807"/>
      <c r="Y28" s="808"/>
    </row>
    <row r="29" spans="1:25" ht="18" customHeight="1" thickBot="1">
      <c r="A29" s="432">
        <f>A28+1</f>
        <v>15</v>
      </c>
      <c r="B29" s="510" t="s">
        <v>120</v>
      </c>
      <c r="C29" s="485" t="str">
        <f t="shared" ref="C29:L29" si="6">IF(C25&lt;&gt;"",MAX(C25:C27)-MIN(C25:C27),"")</f>
        <v/>
      </c>
      <c r="D29" s="485" t="str">
        <f t="shared" si="6"/>
        <v/>
      </c>
      <c r="E29" s="485" t="str">
        <f t="shared" si="6"/>
        <v/>
      </c>
      <c r="F29" s="485" t="str">
        <f t="shared" si="6"/>
        <v/>
      </c>
      <c r="G29" s="485" t="str">
        <f t="shared" si="6"/>
        <v/>
      </c>
      <c r="H29" s="485" t="str">
        <f t="shared" si="6"/>
        <v/>
      </c>
      <c r="I29" s="485" t="str">
        <f t="shared" si="6"/>
        <v/>
      </c>
      <c r="J29" s="485" t="str">
        <f t="shared" si="6"/>
        <v/>
      </c>
      <c r="K29" s="487" t="str">
        <f t="shared" si="6"/>
        <v/>
      </c>
      <c r="L29" s="485" t="str">
        <f t="shared" si="6"/>
        <v/>
      </c>
      <c r="M29" s="486" t="s">
        <v>528</v>
      </c>
      <c r="N29" s="482" t="str">
        <f t="shared" si="0"/>
        <v/>
      </c>
      <c r="O29" s="451"/>
      <c r="P29" s="4" t="s">
        <v>119</v>
      </c>
      <c r="Q29" s="1" t="str">
        <f>IF(C15&lt;&gt;"",CONCATENATE(TEXT($N$31,"0.000")," x ",CHOOSE($P$11,0,U25,U26,U27,U28,U29,U30,U31,U32,U33)),"")</f>
        <v/>
      </c>
      <c r="R29" s="1"/>
      <c r="S29" s="1"/>
      <c r="T29" s="427">
        <v>6</v>
      </c>
      <c r="U29" s="458">
        <v>1.93</v>
      </c>
      <c r="V29" s="333"/>
      <c r="W29" s="1"/>
      <c r="X29" s="1"/>
      <c r="Y29" s="334"/>
    </row>
    <row r="30" spans="1:25" ht="18" customHeight="1">
      <c r="A30" s="847" t="s">
        <v>529</v>
      </c>
      <c r="B30" s="848"/>
      <c r="C30" s="488"/>
      <c r="D30" s="488"/>
      <c r="E30" s="488"/>
      <c r="F30" s="488"/>
      <c r="G30" s="488"/>
      <c r="H30" s="488"/>
      <c r="I30" s="488"/>
      <c r="J30" s="488"/>
      <c r="K30" s="488"/>
      <c r="L30" s="488"/>
      <c r="M30" s="489" t="s">
        <v>530</v>
      </c>
      <c r="N30" s="490" t="str">
        <f>IF(C15&lt;&gt;"",AVERAGE(C31:L31),"")</f>
        <v/>
      </c>
      <c r="O30" s="470"/>
      <c r="P30" s="195" t="s">
        <v>119</v>
      </c>
      <c r="Q30" s="197" t="str">
        <f>IF(C15&lt;&gt;"",$N$31*CHOOSE($P$11,0,U25,U26,U27,U28,U29,U30,U31,U32,U33),"")</f>
        <v/>
      </c>
      <c r="R30" s="119"/>
      <c r="S30" s="119"/>
      <c r="T30" s="427">
        <v>7</v>
      </c>
      <c r="U30" s="458">
        <v>1.82</v>
      </c>
      <c r="V30" s="451" t="s">
        <v>531</v>
      </c>
      <c r="W30" s="4" t="s">
        <v>119</v>
      </c>
      <c r="X30" s="1" t="s">
        <v>532</v>
      </c>
      <c r="Y30" s="334"/>
    </row>
    <row r="31" spans="1:25" ht="18" customHeight="1" thickBot="1">
      <c r="A31" s="849" t="s">
        <v>533</v>
      </c>
      <c r="B31" s="850"/>
      <c r="C31" s="491" t="str">
        <f>IF(C18&lt;&gt;"",SUM(C18,C23,C28)/COUNT(C18,C23,C28),"")</f>
        <v/>
      </c>
      <c r="D31" s="491" t="str">
        <f t="shared" ref="D31:L31" si="7">IF(D18&lt;&gt;"",SUM(D18,D23,D28)/COUNT(D18,D23,D28),"")</f>
        <v/>
      </c>
      <c r="E31" s="491" t="str">
        <f t="shared" si="7"/>
        <v/>
      </c>
      <c r="F31" s="491" t="str">
        <f t="shared" si="7"/>
        <v/>
      </c>
      <c r="G31" s="491" t="str">
        <f t="shared" si="7"/>
        <v/>
      </c>
      <c r="H31" s="491" t="str">
        <f t="shared" si="7"/>
        <v/>
      </c>
      <c r="I31" s="491" t="str">
        <f t="shared" si="7"/>
        <v/>
      </c>
      <c r="J31" s="491" t="str">
        <f t="shared" si="7"/>
        <v/>
      </c>
      <c r="K31" s="491" t="str">
        <f t="shared" si="7"/>
        <v/>
      </c>
      <c r="L31" s="491" t="str">
        <f t="shared" si="7"/>
        <v/>
      </c>
      <c r="M31" s="492" t="s">
        <v>534</v>
      </c>
      <c r="N31" s="493" t="str">
        <f>IF(C15&lt;&gt;"",MAX(C31:L31)-MIN(C31:L31),"")</f>
        <v/>
      </c>
      <c r="O31" s="468" t="s">
        <v>7</v>
      </c>
      <c r="P31" s="123"/>
      <c r="Q31" s="123"/>
      <c r="R31" s="123"/>
      <c r="S31" s="123"/>
      <c r="T31" s="427">
        <v>8</v>
      </c>
      <c r="U31" s="458">
        <v>1.74</v>
      </c>
      <c r="V31" s="451"/>
      <c r="W31" s="4" t="s">
        <v>119</v>
      </c>
      <c r="X31" s="1" t="str">
        <f>IF(C15&lt;&gt;"",CONCATENATE("100(",TEXT($Q$30,"0.000"),"/",TEXT($Q$36,"0.000"),")"),"")</f>
        <v/>
      </c>
      <c r="Y31" s="334"/>
    </row>
    <row r="32" spans="1:25" ht="18" customHeight="1" thickBot="1">
      <c r="A32" s="462">
        <f>A29+2</f>
        <v>17</v>
      </c>
      <c r="B32" s="851" t="s">
        <v>535</v>
      </c>
      <c r="C32" s="851"/>
      <c r="D32" s="851"/>
      <c r="E32" s="851"/>
      <c r="F32" s="851"/>
      <c r="G32" s="851"/>
      <c r="H32" s="851"/>
      <c r="I32" s="851"/>
      <c r="J32" s="851"/>
      <c r="K32" s="851"/>
      <c r="L32" s="852"/>
      <c r="M32" s="494" t="s">
        <v>536</v>
      </c>
      <c r="N32" s="480" t="str">
        <f>IF(C15&lt;&gt;"",SUM(N19,N24,N29)/COUNT(C15,C20,C25),"")</f>
        <v/>
      </c>
      <c r="O32" s="451" t="s">
        <v>537</v>
      </c>
      <c r="P32" s="4" t="s">
        <v>119</v>
      </c>
      <c r="Q32" s="1" t="s">
        <v>538</v>
      </c>
      <c r="R32" s="1"/>
      <c r="S32" s="1"/>
      <c r="T32" s="427">
        <v>9</v>
      </c>
      <c r="U32" s="458">
        <v>1.67</v>
      </c>
      <c r="V32" s="451"/>
      <c r="W32" s="4" t="s">
        <v>119</v>
      </c>
      <c r="X32" s="457" t="str">
        <f>IF(C15&lt;&gt;"",100*($Q$30/$Q$34),"")</f>
        <v/>
      </c>
      <c r="Y32" s="334"/>
    </row>
    <row r="33" spans="1:25" ht="18" customHeight="1">
      <c r="A33" s="463">
        <f>A32+1</f>
        <v>18</v>
      </c>
      <c r="B33" s="853" t="s">
        <v>539</v>
      </c>
      <c r="C33" s="853"/>
      <c r="D33" s="853"/>
      <c r="E33" s="853"/>
      <c r="F33" s="853"/>
      <c r="G33" s="853"/>
      <c r="H33" s="853"/>
      <c r="I33" s="853"/>
      <c r="J33" s="853"/>
      <c r="K33" s="853"/>
      <c r="L33" s="854"/>
      <c r="M33" s="495" t="s">
        <v>540</v>
      </c>
      <c r="N33" s="496" t="str">
        <f>IF(C15&lt;&gt;"",MAX(N18,N23,N28)-MIN(N18,N23,N28),"")</f>
        <v/>
      </c>
      <c r="O33" s="451"/>
      <c r="P33" s="442" t="s">
        <v>119</v>
      </c>
      <c r="Q33" s="437" t="str">
        <f>CONCATENATE(J9," - ",I9)</f>
        <v xml:space="preserve"> - </v>
      </c>
      <c r="R33" s="1"/>
      <c r="S33" s="1"/>
      <c r="T33" s="431">
        <v>10</v>
      </c>
      <c r="U33" s="476">
        <v>1.62</v>
      </c>
      <c r="V33" s="333"/>
      <c r="W33" s="1"/>
      <c r="X33" s="1"/>
      <c r="Y33" s="334"/>
    </row>
    <row r="34" spans="1:25" ht="18" customHeight="1">
      <c r="A34" s="463">
        <f>A33+1</f>
        <v>19</v>
      </c>
      <c r="B34" s="855" t="s">
        <v>541</v>
      </c>
      <c r="C34" s="855"/>
      <c r="D34" s="855"/>
      <c r="E34" s="855"/>
      <c r="F34" s="855"/>
      <c r="G34" s="855"/>
      <c r="H34" s="855"/>
      <c r="I34" s="855"/>
      <c r="J34" s="855"/>
      <c r="K34" s="855"/>
      <c r="L34" s="856"/>
      <c r="M34" s="497" t="s">
        <v>542</v>
      </c>
      <c r="N34" s="496" t="str">
        <f>IF(C15&lt;&gt;"",IF(N11=3,2.58*N32,3.27*N32),"")</f>
        <v/>
      </c>
      <c r="O34" s="470"/>
      <c r="P34" s="444" t="s">
        <v>119</v>
      </c>
      <c r="Q34" s="196" t="str">
        <f>IF(C15&lt;&gt;"",J9-I9,"")</f>
        <v/>
      </c>
      <c r="R34" s="119"/>
      <c r="S34" s="119"/>
      <c r="T34" s="119"/>
      <c r="U34" s="119"/>
      <c r="V34" s="333"/>
      <c r="W34" s="1"/>
      <c r="X34" s="1"/>
      <c r="Y34" s="334"/>
    </row>
    <row r="35" spans="1:25" ht="18" customHeight="1" thickBot="1">
      <c r="A35" s="464">
        <f>A34+1</f>
        <v>20</v>
      </c>
      <c r="B35" s="857" t="s">
        <v>543</v>
      </c>
      <c r="C35" s="858"/>
      <c r="D35" s="858"/>
      <c r="E35" s="858"/>
      <c r="F35" s="858"/>
      <c r="G35" s="858"/>
      <c r="H35" s="858"/>
      <c r="I35" s="858"/>
      <c r="J35" s="858"/>
      <c r="K35" s="858"/>
      <c r="L35" s="859"/>
      <c r="M35" s="498" t="s">
        <v>544</v>
      </c>
      <c r="N35" s="499" t="str">
        <f>IF(C15&lt;&gt;"",0,"")</f>
        <v/>
      </c>
      <c r="O35" s="452"/>
      <c r="P35" s="471"/>
      <c r="Q35" s="472"/>
      <c r="R35" s="325"/>
      <c r="S35" s="325"/>
      <c r="T35" s="325"/>
      <c r="U35" s="325"/>
      <c r="V35" s="337"/>
      <c r="W35" s="325"/>
      <c r="X35" s="325"/>
      <c r="Y35" s="340"/>
    </row>
    <row r="36" spans="1:25" ht="18" customHeight="1">
      <c r="A36" s="330"/>
      <c r="B36" s="331"/>
      <c r="C36" s="331"/>
      <c r="D36" s="331"/>
      <c r="E36" s="331"/>
      <c r="F36" s="331"/>
      <c r="G36" s="331"/>
      <c r="H36" s="331"/>
      <c r="I36" s="331"/>
      <c r="J36" s="331"/>
      <c r="K36" s="331"/>
      <c r="L36" s="331"/>
      <c r="M36" s="331"/>
      <c r="N36" s="460"/>
      <c r="O36" s="817" t="s">
        <v>545</v>
      </c>
      <c r="P36" s="818"/>
      <c r="Q36" s="818"/>
      <c r="R36" s="818"/>
      <c r="S36" s="818"/>
      <c r="T36" s="818"/>
      <c r="U36" s="818"/>
      <c r="V36" s="818"/>
      <c r="W36" s="818"/>
      <c r="X36" s="818"/>
      <c r="Y36" s="819"/>
    </row>
    <row r="37" spans="1:25">
      <c r="A37" s="809" t="s">
        <v>546</v>
      </c>
      <c r="B37" s="810"/>
      <c r="C37" s="810"/>
      <c r="D37" s="810"/>
      <c r="E37" s="810"/>
      <c r="F37" s="810"/>
      <c r="G37" s="810"/>
      <c r="H37" s="810"/>
      <c r="I37" s="810"/>
      <c r="J37" s="810"/>
      <c r="K37" s="810"/>
      <c r="L37" s="810"/>
      <c r="M37" s="810"/>
      <c r="N37" s="811"/>
      <c r="O37" s="820" t="s">
        <v>547</v>
      </c>
      <c r="P37" s="810"/>
      <c r="Q37" s="810"/>
      <c r="R37" s="810"/>
      <c r="S37" s="810"/>
      <c r="T37" s="810"/>
      <c r="U37" s="810"/>
      <c r="V37" s="810"/>
      <c r="W37" s="810"/>
      <c r="X37" s="810"/>
      <c r="Y37" s="821"/>
    </row>
    <row r="38" spans="1:25">
      <c r="A38" s="809" t="s">
        <v>548</v>
      </c>
      <c r="B38" s="810"/>
      <c r="C38" s="810"/>
      <c r="D38" s="810"/>
      <c r="E38" s="810"/>
      <c r="F38" s="810"/>
      <c r="G38" s="810"/>
      <c r="H38" s="810"/>
      <c r="I38" s="810"/>
      <c r="J38" s="810"/>
      <c r="K38" s="810"/>
      <c r="L38" s="810"/>
      <c r="M38" s="810"/>
      <c r="N38" s="811"/>
      <c r="O38" s="1"/>
      <c r="P38" s="810" t="s">
        <v>549</v>
      </c>
      <c r="Q38" s="810"/>
      <c r="R38" s="810"/>
      <c r="S38" s="810"/>
      <c r="T38" s="810"/>
      <c r="U38" s="810"/>
      <c r="V38" s="810"/>
      <c r="W38" s="810"/>
      <c r="X38" s="810"/>
      <c r="Y38" s="821"/>
    </row>
    <row r="39" spans="1:25">
      <c r="A39" s="809" t="s">
        <v>550</v>
      </c>
      <c r="B39" s="810"/>
      <c r="C39" s="810"/>
      <c r="D39" s="810"/>
      <c r="E39" s="810"/>
      <c r="F39" s="810"/>
      <c r="G39" s="810"/>
      <c r="H39" s="810"/>
      <c r="I39" s="810"/>
      <c r="J39" s="810"/>
      <c r="K39" s="810"/>
      <c r="L39" s="810"/>
      <c r="M39" s="810"/>
      <c r="N39" s="811"/>
      <c r="O39" s="820" t="s">
        <v>551</v>
      </c>
      <c r="P39" s="810"/>
      <c r="Q39" s="810"/>
      <c r="R39" s="810"/>
      <c r="S39" s="810"/>
      <c r="T39" s="810"/>
      <c r="U39" s="810"/>
      <c r="V39" s="810"/>
      <c r="W39" s="810"/>
      <c r="X39" s="810"/>
      <c r="Y39" s="821"/>
    </row>
    <row r="40" spans="1:25">
      <c r="A40" s="333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17"/>
      <c r="O40" s="820" t="s">
        <v>552</v>
      </c>
      <c r="P40" s="810"/>
      <c r="Q40" s="810"/>
      <c r="R40" s="810"/>
      <c r="S40" s="810"/>
      <c r="T40" s="810"/>
      <c r="U40" s="810"/>
      <c r="V40" s="810"/>
      <c r="W40" s="810"/>
      <c r="X40" s="810"/>
      <c r="Y40" s="821"/>
    </row>
    <row r="41" spans="1:25">
      <c r="A41" s="447" t="s">
        <v>553</v>
      </c>
      <c r="B41" s="654"/>
      <c r="C41" s="654"/>
      <c r="D41" s="654"/>
      <c r="E41" s="654"/>
      <c r="F41" s="654"/>
      <c r="G41" s="654"/>
      <c r="H41" s="654"/>
      <c r="I41" s="654"/>
      <c r="J41" s="654"/>
      <c r="K41" s="654"/>
      <c r="L41" s="654"/>
      <c r="M41" s="654"/>
      <c r="N41" s="860"/>
      <c r="O41" s="820" t="s">
        <v>554</v>
      </c>
      <c r="P41" s="810"/>
      <c r="Q41" s="810"/>
      <c r="R41" s="810"/>
      <c r="S41" s="810"/>
      <c r="T41" s="810"/>
      <c r="U41" s="810"/>
      <c r="V41" s="810"/>
      <c r="W41" s="810"/>
      <c r="X41" s="810"/>
      <c r="Y41" s="821"/>
    </row>
    <row r="42" spans="1:25" ht="13.5" thickBot="1">
      <c r="A42" s="337"/>
      <c r="B42" s="325"/>
      <c r="C42" s="325"/>
      <c r="D42" s="325"/>
      <c r="E42" s="325"/>
      <c r="F42" s="325"/>
      <c r="G42" s="325"/>
      <c r="H42" s="325"/>
      <c r="I42" s="325"/>
      <c r="J42" s="325"/>
      <c r="K42" s="325"/>
      <c r="L42" s="325"/>
      <c r="M42" s="325"/>
      <c r="N42" s="461"/>
      <c r="O42" s="812" t="s">
        <v>555</v>
      </c>
      <c r="P42" s="813"/>
      <c r="Q42" s="813"/>
      <c r="R42" s="813"/>
      <c r="S42" s="813"/>
      <c r="T42" s="813"/>
      <c r="U42" s="813"/>
      <c r="V42" s="813"/>
      <c r="W42" s="813"/>
      <c r="X42" s="813"/>
      <c r="Y42" s="814"/>
    </row>
  </sheetData>
  <mergeCells count="58">
    <mergeCell ref="O42:Y42"/>
    <mergeCell ref="A38:N38"/>
    <mergeCell ref="P38:Y38"/>
    <mergeCell ref="A39:N39"/>
    <mergeCell ref="O39:Y39"/>
    <mergeCell ref="O40:Y40"/>
    <mergeCell ref="B41:N41"/>
    <mergeCell ref="O41:Y41"/>
    <mergeCell ref="A37:N37"/>
    <mergeCell ref="O37:Y37"/>
    <mergeCell ref="A30:B30"/>
    <mergeCell ref="A31:B31"/>
    <mergeCell ref="B32:L32"/>
    <mergeCell ref="B33:L33"/>
    <mergeCell ref="B34:L34"/>
    <mergeCell ref="B35:L35"/>
    <mergeCell ref="D10:J10"/>
    <mergeCell ref="N10:O10"/>
    <mergeCell ref="P10:Q10"/>
    <mergeCell ref="U10:V10"/>
    <mergeCell ref="V28:Y28"/>
    <mergeCell ref="O36:Y36"/>
    <mergeCell ref="I8:J8"/>
    <mergeCell ref="N8:O8"/>
    <mergeCell ref="D9:H9"/>
    <mergeCell ref="N9:Q9"/>
    <mergeCell ref="W10:Y10"/>
    <mergeCell ref="D11:J11"/>
    <mergeCell ref="N11:O11"/>
    <mergeCell ref="P11:Q11"/>
    <mergeCell ref="U11:V11"/>
    <mergeCell ref="W11:Y11"/>
    <mergeCell ref="A1:N1"/>
    <mergeCell ref="O1:Y1"/>
    <mergeCell ref="A2:N2"/>
    <mergeCell ref="O2:Y2"/>
    <mergeCell ref="D5:J5"/>
    <mergeCell ref="N5:Q5"/>
    <mergeCell ref="U4:V4"/>
    <mergeCell ref="O13:U13"/>
    <mergeCell ref="V13:Y13"/>
    <mergeCell ref="W4:Y4"/>
    <mergeCell ref="U6:V6"/>
    <mergeCell ref="W6:Y6"/>
    <mergeCell ref="U8:V8"/>
    <mergeCell ref="W8:Y8"/>
    <mergeCell ref="N6:O6"/>
    <mergeCell ref="N7:Q7"/>
    <mergeCell ref="A13:B13"/>
    <mergeCell ref="A14:B14"/>
    <mergeCell ref="C13:L13"/>
    <mergeCell ref="M13:N13"/>
    <mergeCell ref="M14:N14"/>
    <mergeCell ref="M3:N3"/>
    <mergeCell ref="N4:O4"/>
    <mergeCell ref="D6:E6"/>
    <mergeCell ref="D7:J7"/>
    <mergeCell ref="D8:H8"/>
  </mergeCells>
  <phoneticPr fontId="10" type="noConversion"/>
  <conditionalFormatting sqref="V28:Y28">
    <cfRule type="cellIs" dxfId="8" priority="1" stopIfTrue="1" operator="equal">
      <formula>"Gage System O.K."</formula>
    </cfRule>
    <cfRule type="cellIs" dxfId="7" priority="2" stopIfTrue="1" operator="equal">
      <formula>"Gage System may be acceptable"</formula>
    </cfRule>
    <cfRule type="cellIs" dxfId="6" priority="3" stopIfTrue="1" operator="equal">
      <formula>"Gage System needs improvement"</formula>
    </cfRule>
  </conditionalFormatting>
  <printOptions horizontalCentered="1" verticalCentered="1"/>
  <pageMargins left="0" right="0" top="0" bottom="0" header="0" footer="0"/>
  <pageSetup scale="74" orientation="landscape" verticalDpi="0" r:id="rId1"/>
  <headerFooter alignWithMargins="0"/>
  <ignoredErrors>
    <ignoredError sqref="N11 M15:N35 C18:L19 C28:J33 L28:L33 K23:K24 L23:L24 C23:J24 K29:K33" formulaRange="1"/>
    <ignoredError sqref="Q20:Q21 X17:X21 X26:X27 Q25:Q30 V28" evalError="1"/>
  </ignoredError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2CC84-CE9E-416E-AD18-F9D02E41873B}">
  <sheetPr codeName="Sheet6"/>
  <dimension ref="A1:I54"/>
  <sheetViews>
    <sheetView workbookViewId="0"/>
  </sheetViews>
  <sheetFormatPr defaultRowHeight="12.75"/>
  <cols>
    <col min="1" max="1" width="11.7109375" customWidth="1"/>
    <col min="2" max="2" width="2.42578125" customWidth="1"/>
    <col min="3" max="3" width="3.28515625" customWidth="1"/>
    <col min="4" max="9" width="11.7109375" customWidth="1"/>
  </cols>
  <sheetData>
    <row r="1" spans="1:9" ht="21.75" thickTop="1">
      <c r="A1" s="10"/>
      <c r="B1" s="11"/>
      <c r="C1" s="11"/>
      <c r="D1" s="12"/>
      <c r="E1" s="13" t="s">
        <v>17</v>
      </c>
      <c r="F1" s="13"/>
      <c r="G1" s="13" t="s">
        <v>18</v>
      </c>
      <c r="H1" s="13"/>
      <c r="I1" s="13"/>
    </row>
    <row r="2" spans="1:9" ht="21.75" thickBot="1">
      <c r="A2" s="14"/>
      <c r="B2" s="15"/>
      <c r="C2" s="15"/>
      <c r="D2" s="16"/>
      <c r="E2" s="107" t="s">
        <v>19</v>
      </c>
      <c r="F2" s="108"/>
      <c r="G2" s="105" t="s">
        <v>20</v>
      </c>
      <c r="H2" s="106"/>
      <c r="I2" s="106"/>
    </row>
    <row r="3" spans="1:9" ht="14.25" thickTop="1" thickBot="1">
      <c r="A3" s="17"/>
      <c r="B3" s="18"/>
      <c r="C3" s="18"/>
      <c r="D3" s="18"/>
      <c r="E3" s="18"/>
      <c r="F3" s="18"/>
      <c r="G3" s="18"/>
      <c r="H3" s="18"/>
      <c r="I3" s="19"/>
    </row>
    <row r="4" spans="1:9" ht="15" thickTop="1">
      <c r="A4" s="20" t="s">
        <v>21</v>
      </c>
      <c r="B4" s="21"/>
      <c r="C4" s="22"/>
      <c r="D4" s="23" t="s">
        <v>22</v>
      </c>
      <c r="E4" s="23" t="s">
        <v>23</v>
      </c>
      <c r="F4" s="24" t="s">
        <v>24</v>
      </c>
      <c r="G4" s="22"/>
      <c r="H4" s="23" t="s">
        <v>1</v>
      </c>
      <c r="I4" s="25" t="s">
        <v>25</v>
      </c>
    </row>
    <row r="5" spans="1:9">
      <c r="A5" s="863" t="s">
        <v>10</v>
      </c>
      <c r="B5" s="864"/>
      <c r="C5" s="865"/>
      <c r="D5" s="26" t="s">
        <v>10</v>
      </c>
      <c r="E5" s="576" t="s">
        <v>10</v>
      </c>
      <c r="F5" s="866" t="s">
        <v>10</v>
      </c>
      <c r="G5" s="867"/>
      <c r="H5" s="577" t="s">
        <v>10</v>
      </c>
      <c r="I5" s="578" t="s">
        <v>10</v>
      </c>
    </row>
    <row r="6" spans="1:9" ht="14.25">
      <c r="A6" s="27" t="s">
        <v>11</v>
      </c>
      <c r="B6" s="28"/>
      <c r="C6" s="28"/>
      <c r="D6" s="29"/>
      <c r="E6" s="30" t="s">
        <v>26</v>
      </c>
      <c r="F6" s="31" t="s">
        <v>14</v>
      </c>
      <c r="G6" s="32"/>
      <c r="H6" s="33"/>
      <c r="I6" s="34"/>
    </row>
    <row r="7" spans="1:9">
      <c r="A7" s="868" t="s">
        <v>10</v>
      </c>
      <c r="B7" s="869"/>
      <c r="C7" s="869"/>
      <c r="D7" s="870"/>
      <c r="E7" s="579" t="s">
        <v>10</v>
      </c>
      <c r="F7" s="873"/>
      <c r="G7" s="874"/>
      <c r="H7" s="871" t="s">
        <v>10</v>
      </c>
      <c r="I7" s="872"/>
    </row>
    <row r="8" spans="1:9" ht="12" customHeight="1">
      <c r="A8" s="35"/>
      <c r="B8" s="36"/>
      <c r="C8" s="36"/>
      <c r="D8" s="37"/>
      <c r="E8" s="38" t="s">
        <v>10</v>
      </c>
      <c r="F8" s="39"/>
      <c r="G8" s="40"/>
      <c r="H8" s="41"/>
      <c r="I8" s="42"/>
    </row>
    <row r="9" spans="1:9" ht="12" customHeight="1">
      <c r="A9" s="43"/>
      <c r="B9" s="44"/>
      <c r="C9" s="45"/>
      <c r="D9" s="45"/>
      <c r="E9" s="44"/>
      <c r="F9" s="44"/>
      <c r="G9" s="44"/>
      <c r="H9" s="44"/>
      <c r="I9" s="46"/>
    </row>
    <row r="10" spans="1:9" ht="12" customHeight="1">
      <c r="A10" s="47"/>
      <c r="B10" s="48"/>
      <c r="C10" s="49"/>
      <c r="D10" s="50" t="s">
        <v>27</v>
      </c>
      <c r="E10" s="51" t="s">
        <v>7</v>
      </c>
      <c r="F10" s="51" t="s">
        <v>28</v>
      </c>
      <c r="G10" s="51" t="s">
        <v>29</v>
      </c>
      <c r="H10" s="52" t="s">
        <v>30</v>
      </c>
      <c r="I10" s="53"/>
    </row>
    <row r="11" spans="1:9" ht="12" customHeight="1">
      <c r="A11" s="54" t="s">
        <v>10</v>
      </c>
      <c r="B11" s="55"/>
      <c r="C11" s="56">
        <v>1</v>
      </c>
      <c r="D11" s="57" t="s">
        <v>10</v>
      </c>
      <c r="E11" s="58" t="s">
        <v>10</v>
      </c>
      <c r="F11" s="58" t="s">
        <v>10</v>
      </c>
      <c r="G11" s="58" t="s">
        <v>10</v>
      </c>
      <c r="H11" s="861" t="s">
        <v>10</v>
      </c>
      <c r="I11" s="862"/>
    </row>
    <row r="12" spans="1:9" ht="12" customHeight="1">
      <c r="A12" s="59"/>
      <c r="B12" s="60"/>
      <c r="C12" s="56">
        <v>2</v>
      </c>
      <c r="D12" s="57" t="s">
        <v>10</v>
      </c>
      <c r="E12" s="61" t="s">
        <v>10</v>
      </c>
      <c r="F12" s="61" t="s">
        <v>10</v>
      </c>
      <c r="G12" s="61" t="s">
        <v>10</v>
      </c>
      <c r="H12" s="861" t="s">
        <v>10</v>
      </c>
      <c r="I12" s="862"/>
    </row>
    <row r="13" spans="1:9">
      <c r="A13" s="59"/>
      <c r="B13" s="55"/>
      <c r="C13" s="56">
        <v>3</v>
      </c>
      <c r="D13" s="57" t="s">
        <v>10</v>
      </c>
      <c r="E13" s="62"/>
      <c r="F13" s="61" t="s">
        <v>10</v>
      </c>
      <c r="G13" s="61" t="s">
        <v>10</v>
      </c>
      <c r="H13" s="861" t="s">
        <v>10</v>
      </c>
      <c r="I13" s="862"/>
    </row>
    <row r="14" spans="1:9">
      <c r="A14" s="59"/>
      <c r="B14" s="63"/>
      <c r="C14" s="56">
        <v>4</v>
      </c>
      <c r="D14" s="57" t="s">
        <v>10</v>
      </c>
      <c r="E14" s="61"/>
      <c r="F14" s="61" t="s">
        <v>10</v>
      </c>
      <c r="G14" s="61" t="s">
        <v>10</v>
      </c>
      <c r="H14" s="861" t="s">
        <v>10</v>
      </c>
      <c r="I14" s="862"/>
    </row>
    <row r="15" spans="1:9" ht="13.5" customHeight="1">
      <c r="A15" s="59"/>
      <c r="B15" s="64"/>
      <c r="C15" s="56">
        <v>5</v>
      </c>
      <c r="D15" s="57" t="s">
        <v>10</v>
      </c>
      <c r="E15" s="61" t="s">
        <v>10</v>
      </c>
      <c r="F15" s="61" t="s">
        <v>10</v>
      </c>
      <c r="G15" s="61" t="s">
        <v>10</v>
      </c>
      <c r="H15" s="861" t="s">
        <v>10</v>
      </c>
      <c r="I15" s="862"/>
    </row>
    <row r="16" spans="1:9">
      <c r="A16" s="43"/>
      <c r="B16" s="65"/>
      <c r="C16" s="56">
        <v>6</v>
      </c>
      <c r="D16" s="57" t="s">
        <v>10</v>
      </c>
      <c r="E16" s="66" t="s">
        <v>10</v>
      </c>
      <c r="F16" s="66" t="s">
        <v>10</v>
      </c>
      <c r="G16" s="66" t="s">
        <v>10</v>
      </c>
      <c r="H16" s="861" t="s">
        <v>10</v>
      </c>
      <c r="I16" s="862"/>
    </row>
    <row r="17" spans="1:9">
      <c r="A17" s="67"/>
      <c r="B17" s="68"/>
      <c r="C17" s="69"/>
      <c r="D17" s="70">
        <v>1</v>
      </c>
      <c r="E17" s="70">
        <v>2</v>
      </c>
      <c r="F17" s="70">
        <v>3</v>
      </c>
      <c r="G17" s="70">
        <v>4</v>
      </c>
      <c r="H17" s="70">
        <v>5</v>
      </c>
      <c r="I17" s="71">
        <v>6</v>
      </c>
    </row>
    <row r="18" spans="1:9">
      <c r="A18" s="72"/>
      <c r="B18" s="73"/>
      <c r="C18" s="74">
        <v>1</v>
      </c>
      <c r="D18" s="75"/>
      <c r="E18" s="75" t="s">
        <v>10</v>
      </c>
      <c r="F18" s="75"/>
      <c r="G18" s="75"/>
      <c r="H18" s="75" t="s">
        <v>10</v>
      </c>
      <c r="I18" s="76" t="s">
        <v>10</v>
      </c>
    </row>
    <row r="19" spans="1:9">
      <c r="A19" s="72"/>
      <c r="B19" s="73"/>
      <c r="C19" s="74">
        <v>2</v>
      </c>
      <c r="D19" s="75"/>
      <c r="E19" s="75" t="s">
        <v>10</v>
      </c>
      <c r="F19" s="75"/>
      <c r="G19" s="75"/>
      <c r="H19" s="75" t="s">
        <v>10</v>
      </c>
      <c r="I19" s="76" t="s">
        <v>10</v>
      </c>
    </row>
    <row r="20" spans="1:9">
      <c r="A20" s="72"/>
      <c r="B20" s="73"/>
      <c r="C20" s="74">
        <v>3</v>
      </c>
      <c r="D20" s="75"/>
      <c r="E20" s="75" t="s">
        <v>10</v>
      </c>
      <c r="F20" s="75"/>
      <c r="G20" s="75"/>
      <c r="H20" s="75" t="s">
        <v>10</v>
      </c>
      <c r="I20" s="76" t="s">
        <v>10</v>
      </c>
    </row>
    <row r="21" spans="1:9">
      <c r="A21" s="72"/>
      <c r="B21" s="73"/>
      <c r="C21" s="74">
        <v>4</v>
      </c>
      <c r="D21" s="75"/>
      <c r="E21" s="75" t="s">
        <v>10</v>
      </c>
      <c r="F21" s="75"/>
      <c r="G21" s="75"/>
      <c r="H21" s="75" t="s">
        <v>10</v>
      </c>
      <c r="I21" s="76" t="s">
        <v>10</v>
      </c>
    </row>
    <row r="22" spans="1:9">
      <c r="A22" s="72"/>
      <c r="B22" s="73"/>
      <c r="C22" s="74">
        <v>5</v>
      </c>
      <c r="D22" s="75"/>
      <c r="E22" s="75" t="s">
        <v>10</v>
      </c>
      <c r="F22" s="75"/>
      <c r="G22" s="75"/>
      <c r="H22" s="75" t="s">
        <v>10</v>
      </c>
      <c r="I22" s="76" t="s">
        <v>10</v>
      </c>
    </row>
    <row r="23" spans="1:9">
      <c r="A23" s="72"/>
      <c r="B23" s="73"/>
      <c r="C23" s="74">
        <v>6</v>
      </c>
      <c r="D23" s="75"/>
      <c r="E23" s="75" t="s">
        <v>10</v>
      </c>
      <c r="F23" s="75"/>
      <c r="G23" s="75"/>
      <c r="H23" s="75" t="s">
        <v>10</v>
      </c>
      <c r="I23" s="76" t="s">
        <v>10</v>
      </c>
    </row>
    <row r="24" spans="1:9">
      <c r="A24" s="72"/>
      <c r="B24" s="73"/>
      <c r="C24" s="74">
        <v>7</v>
      </c>
      <c r="D24" s="75"/>
      <c r="E24" s="75" t="s">
        <v>10</v>
      </c>
      <c r="F24" s="75"/>
      <c r="G24" s="75"/>
      <c r="H24" s="75" t="s">
        <v>10</v>
      </c>
      <c r="I24" s="76" t="s">
        <v>10</v>
      </c>
    </row>
    <row r="25" spans="1:9">
      <c r="A25" s="72"/>
      <c r="B25" s="73"/>
      <c r="C25" s="74">
        <v>8</v>
      </c>
      <c r="D25" s="75"/>
      <c r="E25" s="75" t="s">
        <v>10</v>
      </c>
      <c r="F25" s="75"/>
      <c r="G25" s="75"/>
      <c r="H25" s="75" t="s">
        <v>10</v>
      </c>
      <c r="I25" s="76" t="s">
        <v>10</v>
      </c>
    </row>
    <row r="26" spans="1:9">
      <c r="A26" s="72"/>
      <c r="B26" s="73"/>
      <c r="C26" s="74">
        <v>9</v>
      </c>
      <c r="D26" s="75"/>
      <c r="E26" s="75" t="s">
        <v>10</v>
      </c>
      <c r="F26" s="75"/>
      <c r="G26" s="75"/>
      <c r="H26" s="75" t="s">
        <v>10</v>
      </c>
      <c r="I26" s="76" t="s">
        <v>10</v>
      </c>
    </row>
    <row r="27" spans="1:9">
      <c r="A27" s="72"/>
      <c r="B27" s="73"/>
      <c r="C27" s="74">
        <v>10</v>
      </c>
      <c r="D27" s="75"/>
      <c r="E27" s="75" t="s">
        <v>10</v>
      </c>
      <c r="F27" s="75"/>
      <c r="G27" s="75"/>
      <c r="H27" s="75" t="s">
        <v>10</v>
      </c>
      <c r="I27" s="76" t="s">
        <v>10</v>
      </c>
    </row>
    <row r="28" spans="1:9">
      <c r="A28" s="72"/>
      <c r="B28" s="73"/>
      <c r="C28" s="74">
        <v>11</v>
      </c>
      <c r="D28" s="75"/>
      <c r="E28" s="75" t="s">
        <v>10</v>
      </c>
      <c r="F28" s="75"/>
      <c r="G28" s="75"/>
      <c r="H28" s="75" t="s">
        <v>10</v>
      </c>
      <c r="I28" s="76" t="s">
        <v>10</v>
      </c>
    </row>
    <row r="29" spans="1:9">
      <c r="A29" s="72"/>
      <c r="B29" s="73"/>
      <c r="C29" s="74">
        <v>12</v>
      </c>
      <c r="D29" s="75"/>
      <c r="E29" s="75" t="s">
        <v>10</v>
      </c>
      <c r="F29" s="75"/>
      <c r="G29" s="75"/>
      <c r="H29" s="75" t="s">
        <v>10</v>
      </c>
      <c r="I29" s="76" t="s">
        <v>10</v>
      </c>
    </row>
    <row r="30" spans="1:9">
      <c r="A30" s="72"/>
      <c r="B30" s="73"/>
      <c r="C30" s="74">
        <v>13</v>
      </c>
      <c r="D30" s="75"/>
      <c r="E30" s="75" t="s">
        <v>10</v>
      </c>
      <c r="F30" s="75"/>
      <c r="G30" s="75"/>
      <c r="H30" s="75" t="s">
        <v>10</v>
      </c>
      <c r="I30" s="76" t="s">
        <v>10</v>
      </c>
    </row>
    <row r="31" spans="1:9">
      <c r="A31" s="72"/>
      <c r="B31" s="73"/>
      <c r="C31" s="74">
        <v>14</v>
      </c>
      <c r="D31" s="75"/>
      <c r="E31" s="75" t="s">
        <v>10</v>
      </c>
      <c r="F31" s="75"/>
      <c r="G31" s="75"/>
      <c r="H31" s="75" t="s">
        <v>10</v>
      </c>
      <c r="I31" s="76" t="s">
        <v>10</v>
      </c>
    </row>
    <row r="32" spans="1:9">
      <c r="A32" s="72"/>
      <c r="B32" s="73"/>
      <c r="C32" s="74">
        <v>15</v>
      </c>
      <c r="D32" s="75"/>
      <c r="E32" s="75" t="s">
        <v>10</v>
      </c>
      <c r="F32" s="75"/>
      <c r="G32" s="75"/>
      <c r="H32" s="75" t="s">
        <v>10</v>
      </c>
      <c r="I32" s="76" t="s">
        <v>10</v>
      </c>
    </row>
    <row r="33" spans="1:9">
      <c r="A33" s="72"/>
      <c r="B33" s="73"/>
      <c r="C33" s="74">
        <v>16</v>
      </c>
      <c r="D33" s="75"/>
      <c r="E33" s="75" t="s">
        <v>10</v>
      </c>
      <c r="F33" s="75"/>
      <c r="G33" s="75"/>
      <c r="H33" s="75" t="s">
        <v>10</v>
      </c>
      <c r="I33" s="76" t="s">
        <v>10</v>
      </c>
    </row>
    <row r="34" spans="1:9">
      <c r="A34" s="72"/>
      <c r="B34" s="73"/>
      <c r="C34" s="74">
        <v>17</v>
      </c>
      <c r="D34" s="75"/>
      <c r="E34" s="75" t="s">
        <v>10</v>
      </c>
      <c r="F34" s="75"/>
      <c r="G34" s="75"/>
      <c r="H34" s="75" t="s">
        <v>10</v>
      </c>
      <c r="I34" s="76" t="s">
        <v>10</v>
      </c>
    </row>
    <row r="35" spans="1:9">
      <c r="A35" s="72"/>
      <c r="B35" s="73"/>
      <c r="C35" s="74">
        <v>18</v>
      </c>
      <c r="D35" s="75" t="s">
        <v>10</v>
      </c>
      <c r="E35" s="75" t="s">
        <v>10</v>
      </c>
      <c r="F35" s="75"/>
      <c r="G35" s="75"/>
      <c r="H35" s="75" t="s">
        <v>10</v>
      </c>
      <c r="I35" s="76" t="s">
        <v>10</v>
      </c>
    </row>
    <row r="36" spans="1:9">
      <c r="A36" s="72"/>
      <c r="B36" s="73"/>
      <c r="C36" s="74">
        <v>19</v>
      </c>
      <c r="D36" s="75"/>
      <c r="E36" s="75" t="s">
        <v>10</v>
      </c>
      <c r="F36" s="75"/>
      <c r="G36" s="75"/>
      <c r="H36" s="75" t="s">
        <v>10</v>
      </c>
      <c r="I36" s="76" t="s">
        <v>10</v>
      </c>
    </row>
    <row r="37" spans="1:9">
      <c r="A37" s="72"/>
      <c r="B37" s="73"/>
      <c r="C37" s="74">
        <v>20</v>
      </c>
      <c r="D37" s="75" t="s">
        <v>10</v>
      </c>
      <c r="E37" s="75" t="s">
        <v>10</v>
      </c>
      <c r="F37" s="75"/>
      <c r="G37" s="75"/>
      <c r="H37" s="75" t="s">
        <v>10</v>
      </c>
      <c r="I37" s="76" t="s">
        <v>10</v>
      </c>
    </row>
    <row r="38" spans="1:9">
      <c r="A38" s="72"/>
      <c r="B38" s="73"/>
      <c r="C38" s="74">
        <v>21</v>
      </c>
      <c r="D38" s="75" t="s">
        <v>10</v>
      </c>
      <c r="E38" s="75" t="s">
        <v>10</v>
      </c>
      <c r="F38" s="75"/>
      <c r="G38" s="75"/>
      <c r="H38" s="75" t="s">
        <v>10</v>
      </c>
      <c r="I38" s="76" t="s">
        <v>10</v>
      </c>
    </row>
    <row r="39" spans="1:9">
      <c r="A39" s="72"/>
      <c r="B39" s="73"/>
      <c r="C39" s="74">
        <v>22</v>
      </c>
      <c r="D39" s="75"/>
      <c r="E39" s="75" t="s">
        <v>10</v>
      </c>
      <c r="F39" s="75"/>
      <c r="G39" s="75"/>
      <c r="H39" s="75" t="s">
        <v>10</v>
      </c>
      <c r="I39" s="76" t="s">
        <v>10</v>
      </c>
    </row>
    <row r="40" spans="1:9">
      <c r="A40" s="72"/>
      <c r="B40" s="73"/>
      <c r="C40" s="74">
        <v>23</v>
      </c>
      <c r="D40" s="75" t="s">
        <v>10</v>
      </c>
      <c r="E40" s="75" t="s">
        <v>10</v>
      </c>
      <c r="F40" s="75"/>
      <c r="G40" s="75"/>
      <c r="H40" s="75" t="s">
        <v>10</v>
      </c>
      <c r="I40" s="76" t="s">
        <v>10</v>
      </c>
    </row>
    <row r="41" spans="1:9">
      <c r="A41" s="72"/>
      <c r="B41" s="73"/>
      <c r="C41" s="74">
        <v>24</v>
      </c>
      <c r="D41" s="75"/>
      <c r="E41" s="75" t="s">
        <v>10</v>
      </c>
      <c r="F41" s="75"/>
      <c r="G41" s="75"/>
      <c r="H41" s="75" t="s">
        <v>10</v>
      </c>
      <c r="I41" s="76" t="s">
        <v>10</v>
      </c>
    </row>
    <row r="42" spans="1:9">
      <c r="A42" s="72"/>
      <c r="B42" s="73"/>
      <c r="C42" s="74">
        <v>25</v>
      </c>
      <c r="D42" s="75" t="s">
        <v>10</v>
      </c>
      <c r="E42" s="75" t="s">
        <v>10</v>
      </c>
      <c r="F42" s="75"/>
      <c r="G42" s="75"/>
      <c r="H42" s="75" t="s">
        <v>10</v>
      </c>
      <c r="I42" s="76" t="s">
        <v>10</v>
      </c>
    </row>
    <row r="43" spans="1:9">
      <c r="A43" s="72"/>
      <c r="B43" s="73"/>
      <c r="C43" s="74">
        <v>26</v>
      </c>
      <c r="D43" s="75" t="s">
        <v>10</v>
      </c>
      <c r="E43" s="75" t="s">
        <v>10</v>
      </c>
      <c r="F43" s="75"/>
      <c r="G43" s="75"/>
      <c r="H43" s="75" t="s">
        <v>10</v>
      </c>
      <c r="I43" s="76" t="s">
        <v>10</v>
      </c>
    </row>
    <row r="44" spans="1:9">
      <c r="A44" s="72"/>
      <c r="B44" s="73"/>
      <c r="C44" s="74">
        <v>27</v>
      </c>
      <c r="D44" s="75" t="s">
        <v>10</v>
      </c>
      <c r="E44" s="75" t="s">
        <v>10</v>
      </c>
      <c r="F44" s="75"/>
      <c r="G44" s="75"/>
      <c r="H44" s="75" t="s">
        <v>10</v>
      </c>
      <c r="I44" s="76" t="s">
        <v>10</v>
      </c>
    </row>
    <row r="45" spans="1:9">
      <c r="A45" s="72"/>
      <c r="B45" s="73"/>
      <c r="C45" s="74">
        <v>28</v>
      </c>
      <c r="D45" s="75" t="s">
        <v>10</v>
      </c>
      <c r="E45" s="75" t="s">
        <v>10</v>
      </c>
      <c r="F45" s="75"/>
      <c r="G45" s="75"/>
      <c r="H45" s="75" t="s">
        <v>10</v>
      </c>
      <c r="I45" s="76" t="s">
        <v>10</v>
      </c>
    </row>
    <row r="46" spans="1:9">
      <c r="A46" s="72"/>
      <c r="B46" s="73"/>
      <c r="C46" s="74">
        <v>29</v>
      </c>
      <c r="D46" s="75" t="s">
        <v>10</v>
      </c>
      <c r="E46" s="75" t="s">
        <v>10</v>
      </c>
      <c r="F46" s="75"/>
      <c r="G46" s="75"/>
      <c r="H46" s="75" t="s">
        <v>10</v>
      </c>
      <c r="I46" s="76" t="s">
        <v>10</v>
      </c>
    </row>
    <row r="47" spans="1:9" ht="13.5" thickBot="1">
      <c r="A47" s="72"/>
      <c r="B47" s="73"/>
      <c r="C47" s="74">
        <v>30</v>
      </c>
      <c r="D47" s="75" t="s">
        <v>10</v>
      </c>
      <c r="E47" s="75" t="s">
        <v>10</v>
      </c>
      <c r="F47" s="75"/>
      <c r="G47" s="75"/>
      <c r="H47" s="75" t="s">
        <v>10</v>
      </c>
      <c r="I47" s="76" t="s">
        <v>10</v>
      </c>
    </row>
    <row r="48" spans="1:9" ht="13.5" thickTop="1">
      <c r="A48" s="77"/>
      <c r="B48" s="78"/>
      <c r="C48" s="79" t="s">
        <v>31</v>
      </c>
      <c r="D48" s="80" t="str">
        <f t="shared" ref="D48:I48" si="0">IF(D51="","",AVERAGE(D18:D47))</f>
        <v/>
      </c>
      <c r="E48" s="81" t="str">
        <f t="shared" si="0"/>
        <v/>
      </c>
      <c r="F48" s="82" t="str">
        <f t="shared" si="0"/>
        <v/>
      </c>
      <c r="G48" s="82" t="str">
        <f t="shared" si="0"/>
        <v/>
      </c>
      <c r="H48" s="82" t="str">
        <f t="shared" si="0"/>
        <v/>
      </c>
      <c r="I48" s="83" t="str">
        <f t="shared" si="0"/>
        <v/>
      </c>
    </row>
    <row r="49" spans="1:9" ht="13.5" thickBot="1">
      <c r="A49" s="59"/>
      <c r="B49" s="44"/>
      <c r="C49" s="84" t="s">
        <v>32</v>
      </c>
      <c r="D49" s="85" t="str">
        <f t="shared" ref="D49:I49" si="1">IF(D51="","",STDEV(D18:D47))</f>
        <v/>
      </c>
      <c r="E49" s="86" t="str">
        <f t="shared" si="1"/>
        <v/>
      </c>
      <c r="F49" s="87" t="str">
        <f t="shared" si="1"/>
        <v/>
      </c>
      <c r="G49" s="87" t="str">
        <f t="shared" si="1"/>
        <v/>
      </c>
      <c r="H49" s="87" t="str">
        <f t="shared" si="1"/>
        <v/>
      </c>
      <c r="I49" s="88" t="str">
        <f t="shared" si="1"/>
        <v/>
      </c>
    </row>
    <row r="50" spans="1:9" ht="13.5" thickTop="1">
      <c r="A50" s="59"/>
      <c r="B50" s="44"/>
      <c r="C50" s="84" t="s">
        <v>33</v>
      </c>
      <c r="D50" s="89"/>
      <c r="E50" s="90"/>
      <c r="F50" s="90"/>
      <c r="G50" s="90"/>
      <c r="H50" s="90"/>
      <c r="I50" s="91"/>
    </row>
    <row r="51" spans="1:9" ht="13.5" thickBot="1">
      <c r="A51" s="59"/>
      <c r="B51" s="44"/>
      <c r="C51" s="84" t="s">
        <v>34</v>
      </c>
      <c r="D51" s="92"/>
      <c r="E51" s="93"/>
      <c r="F51" s="93"/>
      <c r="G51" s="93"/>
      <c r="H51" s="93"/>
      <c r="I51" s="94"/>
    </row>
    <row r="52" spans="1:9" ht="13.5" thickTop="1">
      <c r="A52" s="59"/>
      <c r="B52" s="44"/>
      <c r="C52" s="84" t="s">
        <v>35</v>
      </c>
      <c r="D52" s="95" t="str">
        <f t="shared" ref="D52:I52" si="2">IF(D50="","",IF(D50=0,(D51/(3*D49)),(IF(D51="","",(D51-D50)/(6*D49)))))</f>
        <v/>
      </c>
      <c r="E52" s="96" t="str">
        <f t="shared" si="2"/>
        <v/>
      </c>
      <c r="F52" s="96" t="str">
        <f t="shared" si="2"/>
        <v/>
      </c>
      <c r="G52" s="96" t="str">
        <f t="shared" si="2"/>
        <v/>
      </c>
      <c r="H52" s="96" t="str">
        <f t="shared" si="2"/>
        <v/>
      </c>
      <c r="I52" s="97" t="str">
        <f t="shared" si="2"/>
        <v/>
      </c>
    </row>
    <row r="53" spans="1:9" ht="13.5" thickBot="1">
      <c r="A53" s="98"/>
      <c r="B53" s="99"/>
      <c r="C53" s="100" t="s">
        <v>36</v>
      </c>
      <c r="D53" s="101" t="str">
        <f t="shared" ref="D53:I53" si="3">IF(D50="","",IF(D50=0,(D51-D48)/(3*D49),(IF(D51="","",IF((D51-D48)/(3*D49)&gt;(D48-D50)/(3*D49),(D48-D50)/(3*D49),(D51-D48)/(3*D49))))))</f>
        <v/>
      </c>
      <c r="E53" s="102" t="str">
        <f t="shared" si="3"/>
        <v/>
      </c>
      <c r="F53" s="102" t="str">
        <f t="shared" si="3"/>
        <v/>
      </c>
      <c r="G53" s="102" t="str">
        <f t="shared" si="3"/>
        <v/>
      </c>
      <c r="H53" s="102" t="str">
        <f t="shared" si="3"/>
        <v/>
      </c>
      <c r="I53" s="103" t="str">
        <f t="shared" si="3"/>
        <v/>
      </c>
    </row>
    <row r="54" spans="1:9" ht="13.5" thickTop="1"/>
  </sheetData>
  <mergeCells count="11">
    <mergeCell ref="A5:C5"/>
    <mergeCell ref="F5:G5"/>
    <mergeCell ref="A7:D7"/>
    <mergeCell ref="H7:I7"/>
    <mergeCell ref="F7:G7"/>
    <mergeCell ref="H15:I15"/>
    <mergeCell ref="H16:I16"/>
    <mergeCell ref="H11:I11"/>
    <mergeCell ref="H12:I12"/>
    <mergeCell ref="H13:I13"/>
    <mergeCell ref="H14:I14"/>
  </mergeCells>
  <phoneticPr fontId="10" type="noConversion"/>
  <printOptions horizontalCentered="1"/>
  <pageMargins left="0.75" right="0.75" top="0.5" bottom="0.35" header="0" footer="0.35"/>
  <pageSetup orientation="portrait" horizontalDpi="300" verticalDpi="300" r:id="rId1"/>
  <headerFooter alignWithMargins="0">
    <oddFooter xml:space="preserve">&amp;R&amp;8
</oddFooter>
  </headerFooter>
  <ignoredErrors>
    <ignoredError sqref="F48:G49" formulaRange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3EF3B-DF36-46E8-9389-01E3901EFA43}">
  <sheetPr>
    <pageSetUpPr fitToPage="1"/>
  </sheetPr>
  <dimension ref="A1:R69"/>
  <sheetViews>
    <sheetView workbookViewId="0"/>
  </sheetViews>
  <sheetFormatPr defaultRowHeight="12.75"/>
  <cols>
    <col min="1" max="1" width="2.7109375" customWidth="1"/>
    <col min="3" max="16" width="6.7109375" customWidth="1"/>
    <col min="17" max="17" width="10.7109375" customWidth="1"/>
    <col min="18" max="18" width="2.7109375" customWidth="1"/>
  </cols>
  <sheetData>
    <row r="1" spans="1:18" ht="24" thickBot="1">
      <c r="A1" s="160" t="s">
        <v>380</v>
      </c>
      <c r="B1" s="160"/>
      <c r="D1" s="2"/>
      <c r="G1" s="295" t="s">
        <v>269</v>
      </c>
    </row>
    <row r="2" spans="1:18">
      <c r="A2" s="330"/>
      <c r="B2" s="331"/>
      <c r="C2" s="331"/>
      <c r="D2" s="331"/>
      <c r="E2" s="331"/>
      <c r="F2" s="331"/>
      <c r="G2" s="331"/>
      <c r="H2" s="331"/>
      <c r="I2" s="331"/>
      <c r="J2" s="331"/>
      <c r="K2" s="331"/>
      <c r="L2" s="331"/>
      <c r="M2" s="331"/>
      <c r="N2" s="331"/>
      <c r="O2" s="331"/>
      <c r="P2" s="331"/>
      <c r="Q2" s="331"/>
      <c r="R2" s="332"/>
    </row>
    <row r="3" spans="1:18" ht="13.5" thickBot="1">
      <c r="A3" s="333"/>
      <c r="B3" s="296" t="s">
        <v>87</v>
      </c>
      <c r="C3" s="1"/>
      <c r="D3" s="880"/>
      <c r="E3" s="880"/>
      <c r="F3" s="880"/>
      <c r="G3" s="880"/>
      <c r="H3" s="880"/>
      <c r="I3" s="887" t="s">
        <v>360</v>
      </c>
      <c r="J3" s="887"/>
      <c r="K3" s="887"/>
      <c r="L3" s="880"/>
      <c r="M3" s="880"/>
      <c r="N3" s="880"/>
      <c r="O3" s="880"/>
      <c r="P3" s="311" t="s">
        <v>359</v>
      </c>
      <c r="Q3" s="195"/>
      <c r="R3" s="334"/>
    </row>
    <row r="4" spans="1:18">
      <c r="A4" s="333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317" t="s">
        <v>361</v>
      </c>
      <c r="R4" s="334"/>
    </row>
    <row r="5" spans="1:18">
      <c r="A5" s="333"/>
      <c r="B5" s="301"/>
      <c r="C5" s="301"/>
      <c r="D5" s="301"/>
      <c r="E5" s="301"/>
      <c r="F5" s="1"/>
      <c r="G5" s="1"/>
      <c r="H5" s="1"/>
      <c r="I5" s="889" t="s">
        <v>270</v>
      </c>
      <c r="J5" s="889"/>
      <c r="K5" s="889"/>
      <c r="L5" s="1"/>
      <c r="M5" s="1"/>
      <c r="N5" s="1"/>
      <c r="O5" s="1"/>
      <c r="P5" s="1"/>
      <c r="Q5" s="1"/>
      <c r="R5" s="334"/>
    </row>
    <row r="6" spans="1:18" ht="13.5" thickBot="1">
      <c r="A6" s="333"/>
      <c r="B6" s="301" t="s">
        <v>358</v>
      </c>
      <c r="C6" s="301"/>
      <c r="D6" s="813"/>
      <c r="E6" s="890"/>
      <c r="F6" s="890"/>
      <c r="G6" s="890"/>
      <c r="H6" s="1"/>
      <c r="I6" s="889"/>
      <c r="J6" s="889"/>
      <c r="K6" s="889"/>
      <c r="L6" s="888" t="s">
        <v>10</v>
      </c>
      <c r="M6" s="888"/>
      <c r="N6" s="888"/>
      <c r="O6" s="888"/>
      <c r="P6" s="297" t="s">
        <v>271</v>
      </c>
      <c r="Q6" s="328" t="s">
        <v>10</v>
      </c>
      <c r="R6" s="334"/>
    </row>
    <row r="7" spans="1:18">
      <c r="A7" s="333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334"/>
    </row>
    <row r="8" spans="1:18" ht="13.5" thickBot="1">
      <c r="A8" s="333"/>
      <c r="B8" s="296" t="s">
        <v>272</v>
      </c>
      <c r="C8" s="1"/>
      <c r="D8" s="1"/>
      <c r="E8" s="1"/>
      <c r="F8" s="1"/>
      <c r="G8" s="876"/>
      <c r="H8" s="880"/>
      <c r="I8" s="880"/>
      <c r="J8" s="880"/>
      <c r="K8" s="880"/>
      <c r="L8" s="880"/>
      <c r="M8" s="880"/>
      <c r="N8" s="880"/>
      <c r="O8" s="880"/>
      <c r="P8" s="297" t="s">
        <v>271</v>
      </c>
      <c r="Q8" s="322"/>
      <c r="R8" s="334"/>
    </row>
    <row r="9" spans="1:18">
      <c r="A9" s="333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334"/>
    </row>
    <row r="10" spans="1:18" ht="13.5" thickBot="1">
      <c r="A10" s="333"/>
      <c r="B10" s="296" t="s">
        <v>273</v>
      </c>
      <c r="C10" s="1"/>
      <c r="D10" s="1"/>
      <c r="E10" s="880"/>
      <c r="F10" s="880"/>
      <c r="G10" s="880"/>
      <c r="H10" s="880"/>
      <c r="I10" s="116"/>
      <c r="J10" s="296" t="s">
        <v>274</v>
      </c>
      <c r="K10" s="1"/>
      <c r="L10" s="1"/>
      <c r="M10" s="876"/>
      <c r="N10" s="876"/>
      <c r="O10" s="298" t="s">
        <v>275</v>
      </c>
      <c r="P10" s="298"/>
      <c r="Q10" s="329"/>
      <c r="R10" s="334"/>
    </row>
    <row r="11" spans="1:18">
      <c r="A11" s="333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334"/>
    </row>
    <row r="12" spans="1:18" ht="13.5" thickBot="1">
      <c r="A12" s="333"/>
      <c r="B12" s="296" t="s">
        <v>276</v>
      </c>
      <c r="C12" s="1"/>
      <c r="D12" s="1"/>
      <c r="E12" s="876"/>
      <c r="F12" s="880"/>
      <c r="G12" s="880"/>
      <c r="H12" s="892" t="s">
        <v>277</v>
      </c>
      <c r="I12" s="882"/>
      <c r="J12" s="882"/>
      <c r="K12" s="1"/>
      <c r="L12" s="893"/>
      <c r="M12" s="888"/>
      <c r="N12" s="888"/>
      <c r="O12" s="888"/>
      <c r="P12" s="297" t="s">
        <v>271</v>
      </c>
      <c r="Q12" s="322"/>
      <c r="R12" s="334"/>
    </row>
    <row r="13" spans="1:18">
      <c r="A13" s="333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334"/>
    </row>
    <row r="14" spans="1:18">
      <c r="A14" s="333"/>
      <c r="B14" s="299" t="s">
        <v>362</v>
      </c>
      <c r="C14" s="1"/>
      <c r="D14" s="1"/>
      <c r="E14" s="1"/>
      <c r="F14" s="1"/>
      <c r="G14" s="1"/>
      <c r="H14" s="1"/>
      <c r="I14" s="1"/>
      <c r="J14" s="300" t="s">
        <v>278</v>
      </c>
      <c r="K14" s="1"/>
      <c r="L14" s="1"/>
      <c r="M14" s="1"/>
      <c r="N14" s="1"/>
      <c r="O14" s="1"/>
      <c r="P14" s="1"/>
      <c r="Q14" s="1"/>
      <c r="R14" s="334"/>
    </row>
    <row r="15" spans="1:18">
      <c r="A15" s="333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334"/>
    </row>
    <row r="16" spans="1:18" ht="13.5" thickBot="1">
      <c r="A16" s="333"/>
      <c r="B16" s="880" t="s">
        <v>10</v>
      </c>
      <c r="C16" s="880"/>
      <c r="D16" s="880"/>
      <c r="E16" s="880"/>
      <c r="F16" s="880"/>
      <c r="G16" s="880"/>
      <c r="H16" s="880"/>
      <c r="I16" s="1"/>
      <c r="J16" s="813"/>
      <c r="K16" s="880"/>
      <c r="L16" s="880"/>
      <c r="M16" s="880"/>
      <c r="N16" s="880"/>
      <c r="O16" s="880"/>
      <c r="P16" s="880"/>
      <c r="Q16" s="1"/>
      <c r="R16" s="334"/>
    </row>
    <row r="17" spans="1:18">
      <c r="A17" s="333"/>
      <c r="B17" s="296" t="s">
        <v>363</v>
      </c>
      <c r="C17" s="1"/>
      <c r="D17" s="1"/>
      <c r="E17" s="1"/>
      <c r="F17" s="1"/>
      <c r="G17" s="296" t="s">
        <v>10</v>
      </c>
      <c r="H17" s="1"/>
      <c r="I17" s="1"/>
      <c r="J17" s="109" t="s">
        <v>279</v>
      </c>
      <c r="K17" s="1"/>
      <c r="L17" s="1"/>
      <c r="M17" s="1"/>
      <c r="N17" s="1"/>
      <c r="O17" s="1"/>
      <c r="P17" s="1"/>
      <c r="Q17" s="1"/>
      <c r="R17" s="334"/>
    </row>
    <row r="18" spans="1:18">
      <c r="A18" s="333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334"/>
    </row>
    <row r="19" spans="1:18" ht="13.5" thickBot="1">
      <c r="A19" s="333"/>
      <c r="B19" s="880" t="s">
        <v>10</v>
      </c>
      <c r="C19" s="880"/>
      <c r="D19" s="880"/>
      <c r="E19" s="880"/>
      <c r="F19" s="880"/>
      <c r="G19" s="880"/>
      <c r="H19" s="880"/>
      <c r="I19" s="1"/>
      <c r="J19" s="880" t="s">
        <v>10</v>
      </c>
      <c r="K19" s="880"/>
      <c r="L19" s="880"/>
      <c r="M19" s="880"/>
      <c r="N19" s="880"/>
      <c r="O19" s="880"/>
      <c r="P19" s="880"/>
      <c r="Q19" s="190" t="s">
        <v>10</v>
      </c>
      <c r="R19" s="334"/>
    </row>
    <row r="20" spans="1:18">
      <c r="A20" s="333"/>
      <c r="B20" s="296" t="s">
        <v>280</v>
      </c>
      <c r="C20" s="1"/>
      <c r="D20" s="1"/>
      <c r="E20" s="1"/>
      <c r="F20" s="1"/>
      <c r="G20" s="1"/>
      <c r="H20" s="1"/>
      <c r="I20" s="1"/>
      <c r="J20" s="109" t="s">
        <v>364</v>
      </c>
      <c r="K20" s="1"/>
      <c r="L20" s="1"/>
      <c r="M20" s="1"/>
      <c r="N20" s="1"/>
      <c r="O20" s="1"/>
      <c r="P20" s="1"/>
      <c r="Q20" s="1"/>
      <c r="R20" s="334"/>
    </row>
    <row r="21" spans="1:18">
      <c r="A21" s="333"/>
      <c r="B21" s="1"/>
      <c r="C21" s="1"/>
      <c r="D21" s="1"/>
      <c r="E21" s="1"/>
      <c r="F21" s="1"/>
      <c r="G21" s="1"/>
      <c r="H21" s="1"/>
      <c r="I21" s="1"/>
      <c r="J21" s="296"/>
      <c r="K21" s="1"/>
      <c r="L21" s="1"/>
      <c r="M21" s="318"/>
      <c r="N21" s="318"/>
      <c r="O21" s="318"/>
      <c r="P21" s="318"/>
      <c r="Q21" s="318"/>
      <c r="R21" s="334"/>
    </row>
    <row r="22" spans="1:18" ht="13.5" thickBot="1">
      <c r="A22" s="333"/>
      <c r="B22" s="880" t="s">
        <v>10</v>
      </c>
      <c r="C22" s="880"/>
      <c r="D22" s="880"/>
      <c r="E22" s="880"/>
      <c r="F22" s="327" t="s">
        <v>10</v>
      </c>
      <c r="G22" s="886" t="s">
        <v>10</v>
      </c>
      <c r="H22" s="886"/>
      <c r="I22" s="1"/>
      <c r="J22" s="880"/>
      <c r="K22" s="880"/>
      <c r="L22" s="880"/>
      <c r="M22" s="880"/>
      <c r="N22" s="880"/>
      <c r="O22" s="880"/>
      <c r="P22" s="880"/>
      <c r="Q22" s="1"/>
      <c r="R22" s="334"/>
    </row>
    <row r="23" spans="1:18">
      <c r="A23" s="333"/>
      <c r="B23" s="296" t="s">
        <v>281</v>
      </c>
      <c r="C23" s="1"/>
      <c r="D23" s="1"/>
      <c r="E23" s="1"/>
      <c r="F23" s="296" t="s">
        <v>8</v>
      </c>
      <c r="G23" s="1"/>
      <c r="H23" s="297" t="s">
        <v>9</v>
      </c>
      <c r="I23" s="1"/>
      <c r="J23" s="296" t="s">
        <v>282</v>
      </c>
      <c r="K23" s="1"/>
      <c r="L23" s="1"/>
      <c r="M23" s="1" t="s">
        <v>10</v>
      </c>
      <c r="N23" s="1"/>
      <c r="O23" s="1"/>
      <c r="P23" s="1"/>
      <c r="Q23" s="1"/>
      <c r="R23" s="334"/>
    </row>
    <row r="24" spans="1:18">
      <c r="A24" s="333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334"/>
    </row>
    <row r="25" spans="1:18">
      <c r="A25" s="333"/>
      <c r="B25" s="299" t="s">
        <v>283</v>
      </c>
      <c r="C25" s="299"/>
      <c r="D25" s="299" t="s">
        <v>284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334"/>
    </row>
    <row r="26" spans="1:18">
      <c r="A26" s="333"/>
      <c r="B26" s="299"/>
      <c r="C26" s="299"/>
      <c r="D26" s="299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334"/>
    </row>
    <row r="27" spans="1:18">
      <c r="A27" s="333"/>
      <c r="B27" s="299"/>
      <c r="C27" s="299"/>
      <c r="D27" s="299" t="s">
        <v>285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334"/>
    </row>
    <row r="28" spans="1:18">
      <c r="A28" s="333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334"/>
    </row>
    <row r="29" spans="1:18">
      <c r="A29" s="333"/>
      <c r="B29" s="299" t="s">
        <v>365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334"/>
    </row>
    <row r="30" spans="1:18">
      <c r="A30" s="333"/>
      <c r="B30" s="1"/>
      <c r="C30" s="296" t="s">
        <v>286</v>
      </c>
      <c r="D30" s="1"/>
      <c r="E30" s="1"/>
      <c r="F30" s="1"/>
      <c r="G30" s="1"/>
      <c r="H30" s="1"/>
      <c r="I30" s="1"/>
      <c r="J30" s="1"/>
      <c r="K30" s="1"/>
      <c r="L30" s="296" t="s">
        <v>287</v>
      </c>
      <c r="M30" s="1"/>
      <c r="N30" s="1"/>
      <c r="O30" s="1"/>
      <c r="P30" s="1"/>
      <c r="Q30" s="1"/>
      <c r="R30" s="334"/>
    </row>
    <row r="31" spans="1:18">
      <c r="A31" s="333"/>
      <c r="B31" s="1"/>
      <c r="C31" s="296" t="s">
        <v>288</v>
      </c>
      <c r="D31" s="1"/>
      <c r="E31" s="1"/>
      <c r="F31" s="1"/>
      <c r="G31" s="1"/>
      <c r="H31" s="1"/>
      <c r="I31" s="1"/>
      <c r="J31" s="1"/>
      <c r="K31" s="1"/>
      <c r="L31" s="296" t="s">
        <v>289</v>
      </c>
      <c r="M31" s="1"/>
      <c r="N31" s="1"/>
      <c r="O31" s="1"/>
      <c r="P31" s="1"/>
      <c r="Q31" s="1"/>
      <c r="R31" s="334"/>
    </row>
    <row r="32" spans="1:18">
      <c r="A32" s="333"/>
      <c r="B32" s="1"/>
      <c r="C32" s="296" t="s">
        <v>366</v>
      </c>
      <c r="D32" s="1"/>
      <c r="E32" s="1"/>
      <c r="F32" s="1"/>
      <c r="G32" s="1"/>
      <c r="H32" s="1"/>
      <c r="I32" s="1"/>
      <c r="J32" s="1"/>
      <c r="K32" s="1"/>
      <c r="L32" s="296" t="s">
        <v>290</v>
      </c>
      <c r="M32" s="1"/>
      <c r="N32" s="1"/>
      <c r="O32" s="1"/>
      <c r="P32" s="1"/>
      <c r="Q32" s="1"/>
      <c r="R32" s="334"/>
    </row>
    <row r="33" spans="1:18">
      <c r="A33" s="333"/>
      <c r="B33" s="1"/>
      <c r="C33" s="296" t="s">
        <v>291</v>
      </c>
      <c r="D33" s="1"/>
      <c r="E33" s="1"/>
      <c r="F33" s="1"/>
      <c r="G33" s="1"/>
      <c r="H33" s="1"/>
      <c r="I33" s="1"/>
      <c r="J33" s="1"/>
      <c r="K33" s="1"/>
      <c r="L33" s="296" t="s">
        <v>292</v>
      </c>
      <c r="M33" s="1"/>
      <c r="N33" s="1"/>
      <c r="O33" s="1"/>
      <c r="P33" s="1"/>
      <c r="Q33" s="1"/>
      <c r="R33" s="334"/>
    </row>
    <row r="34" spans="1:18">
      <c r="A34" s="333"/>
      <c r="B34" s="1"/>
      <c r="C34" s="296" t="s">
        <v>293</v>
      </c>
      <c r="D34" s="1"/>
      <c r="E34" s="1"/>
      <c r="F34" s="1"/>
      <c r="G34" s="1"/>
      <c r="H34" s="1"/>
      <c r="I34" s="1"/>
      <c r="J34" s="1"/>
      <c r="K34" s="1"/>
      <c r="L34" s="296" t="s">
        <v>367</v>
      </c>
      <c r="M34" s="1"/>
      <c r="N34" s="1"/>
      <c r="O34" s="1"/>
      <c r="P34" s="1"/>
      <c r="Q34" s="1"/>
      <c r="R34" s="334"/>
    </row>
    <row r="35" spans="1:18" ht="13.5" thickBot="1">
      <c r="A35" s="333"/>
      <c r="B35" s="1"/>
      <c r="C35" s="1"/>
      <c r="D35" s="1"/>
      <c r="E35" s="1"/>
      <c r="F35" s="1"/>
      <c r="G35" s="1"/>
      <c r="H35" s="1"/>
      <c r="I35" s="1"/>
      <c r="J35" s="1"/>
      <c r="K35" s="1"/>
      <c r="L35" s="875"/>
      <c r="M35" s="875"/>
      <c r="N35" s="875"/>
      <c r="O35" s="875"/>
      <c r="P35" s="875"/>
      <c r="Q35" s="1"/>
      <c r="R35" s="334"/>
    </row>
    <row r="36" spans="1:18" ht="13.5" thickTop="1">
      <c r="A36" s="333"/>
      <c r="B36" s="299" t="s">
        <v>368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334"/>
    </row>
    <row r="37" spans="1:18">
      <c r="A37" s="333"/>
      <c r="B37" s="1"/>
      <c r="C37" s="296" t="s">
        <v>294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334"/>
    </row>
    <row r="38" spans="1:18">
      <c r="A38" s="333"/>
      <c r="B38" s="1"/>
      <c r="C38" s="296" t="s">
        <v>295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334"/>
    </row>
    <row r="39" spans="1:18">
      <c r="A39" s="333"/>
      <c r="B39" s="1"/>
      <c r="C39" s="296" t="s">
        <v>296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296"/>
      <c r="P39" s="1"/>
      <c r="Q39" s="1"/>
      <c r="R39" s="334"/>
    </row>
    <row r="40" spans="1:18">
      <c r="A40" s="333"/>
      <c r="B40" s="1"/>
      <c r="C40" s="296" t="s">
        <v>297</v>
      </c>
      <c r="D40" s="1"/>
      <c r="E40" s="1"/>
      <c r="F40" s="1"/>
      <c r="G40" s="1"/>
      <c r="H40" s="1"/>
      <c r="I40" s="1"/>
      <c r="J40" s="1"/>
      <c r="K40" s="1"/>
      <c r="L40" s="296"/>
      <c r="M40" s="1"/>
      <c r="N40" s="1"/>
      <c r="O40" s="1"/>
      <c r="P40" s="1"/>
      <c r="Q40" s="1"/>
      <c r="R40" s="334"/>
    </row>
    <row r="41" spans="1:18" ht="17.45" customHeight="1">
      <c r="A41" s="333"/>
      <c r="B41" s="1"/>
      <c r="C41" s="1"/>
      <c r="D41" s="110" t="s">
        <v>588</v>
      </c>
      <c r="E41" s="110" t="s">
        <v>589</v>
      </c>
      <c r="F41" s="110" t="s">
        <v>590</v>
      </c>
      <c r="G41" s="110" t="s">
        <v>591</v>
      </c>
      <c r="H41" s="110" t="s">
        <v>592</v>
      </c>
      <c r="I41" s="110" t="s">
        <v>593</v>
      </c>
      <c r="J41" s="110" t="s">
        <v>594</v>
      </c>
      <c r="K41" s="110" t="s">
        <v>595</v>
      </c>
      <c r="L41" s="110" t="s">
        <v>596</v>
      </c>
      <c r="M41" s="110"/>
      <c r="N41" s="1"/>
      <c r="O41" s="1"/>
      <c r="P41" s="1"/>
      <c r="Q41" s="1"/>
      <c r="R41" s="334"/>
    </row>
    <row r="42" spans="1:18">
      <c r="A42" s="333"/>
      <c r="B42" s="1"/>
      <c r="C42" s="296" t="s">
        <v>369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334"/>
    </row>
    <row r="43" spans="1:18">
      <c r="A43" s="333"/>
      <c r="B43" s="1"/>
      <c r="C43" s="296" t="s">
        <v>298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334"/>
    </row>
    <row r="44" spans="1:18">
      <c r="A44" s="333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334"/>
    </row>
    <row r="45" spans="1:18">
      <c r="A45" s="333"/>
      <c r="B45" s="299" t="s">
        <v>299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334"/>
    </row>
    <row r="46" spans="1:18">
      <c r="A46" s="333"/>
      <c r="B46" s="894" t="s">
        <v>300</v>
      </c>
      <c r="C46" s="895"/>
      <c r="D46" s="895"/>
      <c r="E46" s="895"/>
      <c r="F46" s="895"/>
      <c r="G46" s="895"/>
      <c r="H46" s="895"/>
      <c r="I46" s="895"/>
      <c r="J46" s="895"/>
      <c r="K46" s="895"/>
      <c r="L46" s="895"/>
      <c r="M46" s="895"/>
      <c r="N46" s="895"/>
      <c r="O46" s="895"/>
      <c r="P46" s="895"/>
      <c r="Q46" s="1"/>
      <c r="R46" s="334"/>
    </row>
    <row r="47" spans="1:18">
      <c r="A47" s="333"/>
      <c r="B47" s="894" t="s">
        <v>301</v>
      </c>
      <c r="C47" s="895"/>
      <c r="D47" s="895"/>
      <c r="E47" s="895"/>
      <c r="F47" s="895"/>
      <c r="G47" s="895"/>
      <c r="H47" s="895"/>
      <c r="I47" s="895"/>
      <c r="J47" s="895"/>
      <c r="K47" s="895"/>
      <c r="L47" s="895"/>
      <c r="M47" s="895"/>
      <c r="N47" s="895"/>
      <c r="O47" s="895"/>
      <c r="P47" s="895"/>
      <c r="Q47" s="1"/>
      <c r="R47" s="334"/>
    </row>
    <row r="48" spans="1:18">
      <c r="A48" s="333"/>
      <c r="B48" s="894" t="s">
        <v>302</v>
      </c>
      <c r="C48" s="895"/>
      <c r="D48" s="895"/>
      <c r="E48" s="895"/>
      <c r="F48" s="895"/>
      <c r="G48" s="895"/>
      <c r="H48" s="895"/>
      <c r="I48" s="895"/>
      <c r="J48" s="895"/>
      <c r="K48" s="895"/>
      <c r="L48" s="895"/>
      <c r="M48" s="895"/>
      <c r="N48" s="895"/>
      <c r="O48" s="895"/>
      <c r="P48" s="895"/>
      <c r="Q48" s="1"/>
      <c r="R48" s="334"/>
    </row>
    <row r="49" spans="1:18">
      <c r="A49" s="333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334"/>
    </row>
    <row r="50" spans="1:18" ht="13.5" thickBot="1">
      <c r="A50" s="333"/>
      <c r="B50" s="299" t="s">
        <v>303</v>
      </c>
      <c r="C50" s="1"/>
      <c r="D50" s="1"/>
      <c r="E50" s="880"/>
      <c r="F50" s="880"/>
      <c r="G50" s="880"/>
      <c r="H50" s="880"/>
      <c r="I50" s="880"/>
      <c r="J50" s="880"/>
      <c r="K50" s="880"/>
      <c r="L50" s="880"/>
      <c r="M50" s="880"/>
      <c r="N50" s="880"/>
      <c r="O50" s="880"/>
      <c r="P50" s="880"/>
      <c r="Q50" s="880"/>
      <c r="R50" s="334"/>
    </row>
    <row r="51" spans="1:18" ht="13.5" thickBot="1">
      <c r="A51" s="333"/>
      <c r="B51" s="299"/>
      <c r="C51" s="1"/>
      <c r="D51" s="1"/>
      <c r="E51" s="891"/>
      <c r="F51" s="891"/>
      <c r="G51" s="891"/>
      <c r="H51" s="891"/>
      <c r="I51" s="891"/>
      <c r="J51" s="891"/>
      <c r="K51" s="891"/>
      <c r="L51" s="891"/>
      <c r="M51" s="891"/>
      <c r="N51" s="891"/>
      <c r="O51" s="891"/>
      <c r="P51" s="891"/>
      <c r="Q51" s="891"/>
      <c r="R51" s="334"/>
    </row>
    <row r="52" spans="1:18">
      <c r="A52" s="333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334"/>
    </row>
    <row r="53" spans="1:18" ht="13.5" thickBot="1">
      <c r="A53" s="333"/>
      <c r="B53" s="296" t="s">
        <v>370</v>
      </c>
      <c r="C53" s="1"/>
      <c r="D53" s="319"/>
      <c r="E53" s="318"/>
      <c r="F53" s="318"/>
      <c r="G53" s="876"/>
      <c r="H53" s="880"/>
      <c r="I53" s="880"/>
      <c r="J53" s="880"/>
      <c r="K53" s="880"/>
      <c r="L53" s="880"/>
      <c r="M53" s="880"/>
      <c r="N53" s="880"/>
      <c r="O53" s="880"/>
      <c r="P53" s="880"/>
      <c r="Q53" s="880"/>
      <c r="R53" s="334"/>
    </row>
    <row r="54" spans="1:18">
      <c r="A54" s="333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334"/>
    </row>
    <row r="55" spans="1:18" ht="13.5" thickBot="1">
      <c r="A55" s="333"/>
      <c r="B55" s="296" t="s">
        <v>371</v>
      </c>
      <c r="C55" s="1"/>
      <c r="D55" s="1"/>
      <c r="E55" s="1"/>
      <c r="F55" s="876"/>
      <c r="G55" s="876"/>
      <c r="H55" s="876"/>
      <c r="I55" s="876"/>
      <c r="J55" s="876"/>
      <c r="K55" s="876"/>
      <c r="L55" s="876"/>
      <c r="M55" s="876"/>
      <c r="N55" s="876"/>
      <c r="O55" s="302"/>
      <c r="P55" s="320" t="s">
        <v>1</v>
      </c>
      <c r="Q55" s="322"/>
      <c r="R55" s="334"/>
    </row>
    <row r="56" spans="1:18">
      <c r="A56" s="333"/>
      <c r="B56" s="296"/>
      <c r="C56" s="1"/>
      <c r="D56" s="1"/>
      <c r="E56" s="1"/>
      <c r="F56" s="318"/>
      <c r="G56" s="318"/>
      <c r="H56" s="318"/>
      <c r="I56" s="318"/>
      <c r="J56" s="318"/>
      <c r="K56" s="318"/>
      <c r="L56" s="318"/>
      <c r="M56" s="318"/>
      <c r="N56" s="318"/>
      <c r="O56" s="302"/>
      <c r="P56" s="320"/>
      <c r="Q56" s="321"/>
      <c r="R56" s="334"/>
    </row>
    <row r="57" spans="1:18" ht="13.5" thickBot="1">
      <c r="A57" s="333"/>
      <c r="B57" s="296" t="s">
        <v>304</v>
      </c>
      <c r="C57" s="880"/>
      <c r="D57" s="880"/>
      <c r="E57" s="880"/>
      <c r="F57" s="880"/>
      <c r="G57" s="880"/>
      <c r="H57" s="880"/>
      <c r="I57" s="881" t="s">
        <v>372</v>
      </c>
      <c r="J57" s="882"/>
      <c r="K57" s="883"/>
      <c r="L57" s="883"/>
      <c r="M57" s="883"/>
      <c r="N57" s="883"/>
      <c r="O57" s="302" t="s">
        <v>373</v>
      </c>
      <c r="P57" s="884"/>
      <c r="Q57" s="885"/>
      <c r="R57" s="334"/>
    </row>
    <row r="58" spans="1:18">
      <c r="A58" s="333"/>
      <c r="B58" s="296"/>
      <c r="C58" s="1"/>
      <c r="D58" s="1"/>
      <c r="E58" s="1"/>
      <c r="F58" s="318"/>
      <c r="G58" s="318"/>
      <c r="H58" s="318"/>
      <c r="I58" s="318"/>
      <c r="J58" s="318"/>
      <c r="K58" s="318"/>
      <c r="L58" s="318"/>
      <c r="M58" s="318"/>
      <c r="N58" s="318"/>
      <c r="O58" s="302"/>
      <c r="P58" s="320"/>
      <c r="Q58" s="321"/>
      <c r="R58" s="334"/>
    </row>
    <row r="59" spans="1:18" ht="13.5" thickBot="1">
      <c r="A59" s="333"/>
      <c r="B59" s="296" t="s">
        <v>127</v>
      </c>
      <c r="C59" s="880"/>
      <c r="D59" s="880"/>
      <c r="E59" s="880"/>
      <c r="F59" s="880"/>
      <c r="G59" s="880"/>
      <c r="H59" s="880"/>
      <c r="I59" s="881" t="s">
        <v>374</v>
      </c>
      <c r="J59" s="881"/>
      <c r="K59" s="876"/>
      <c r="L59" s="880"/>
      <c r="M59" s="880"/>
      <c r="N59" s="880"/>
      <c r="O59" s="880"/>
      <c r="P59" s="880"/>
      <c r="Q59" s="880"/>
      <c r="R59" s="334"/>
    </row>
    <row r="60" spans="1:18">
      <c r="A60" s="335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336"/>
    </row>
    <row r="61" spans="1:18">
      <c r="A61" s="877" t="s">
        <v>375</v>
      </c>
      <c r="B61" s="878"/>
      <c r="C61" s="878"/>
      <c r="D61" s="878"/>
      <c r="E61" s="878"/>
      <c r="F61" s="878"/>
      <c r="G61" s="878"/>
      <c r="H61" s="878"/>
      <c r="I61" s="878"/>
      <c r="J61" s="878"/>
      <c r="K61" s="878"/>
      <c r="L61" s="878"/>
      <c r="M61" s="878"/>
      <c r="N61" s="878"/>
      <c r="O61" s="878"/>
      <c r="P61" s="878"/>
      <c r="Q61" s="878"/>
      <c r="R61" s="879"/>
    </row>
    <row r="62" spans="1:18">
      <c r="A62" s="333"/>
      <c r="B62" s="296" t="s">
        <v>305</v>
      </c>
      <c r="C62" s="216"/>
      <c r="D62" s="216"/>
      <c r="E62" s="216"/>
      <c r="F62" s="216"/>
      <c r="G62" s="216"/>
      <c r="H62" s="216"/>
      <c r="I62" s="296"/>
      <c r="J62" s="1"/>
      <c r="K62" s="192"/>
      <c r="L62" s="1"/>
      <c r="M62" s="1"/>
      <c r="N62" s="1"/>
      <c r="O62" s="1"/>
      <c r="P62" s="1"/>
      <c r="Q62" s="1"/>
      <c r="R62" s="334"/>
    </row>
    <row r="63" spans="1:18">
      <c r="A63" s="333"/>
      <c r="B63" s="296"/>
      <c r="C63" s="216"/>
      <c r="D63" s="216"/>
      <c r="E63" s="216"/>
      <c r="F63" s="216"/>
      <c r="G63" s="216"/>
      <c r="H63" s="216"/>
      <c r="I63" s="296"/>
      <c r="J63" s="1"/>
      <c r="K63" s="192" t="s">
        <v>379</v>
      </c>
      <c r="L63" s="1"/>
      <c r="M63" s="1"/>
      <c r="N63" s="1"/>
      <c r="O63" s="1"/>
      <c r="P63" s="1"/>
      <c r="Q63" s="1"/>
      <c r="R63" s="334"/>
    </row>
    <row r="64" spans="1:18" ht="13.5" thickBot="1">
      <c r="A64" s="333"/>
      <c r="B64" s="1"/>
      <c r="C64" s="1"/>
      <c r="D64" s="1"/>
      <c r="E64" s="303"/>
      <c r="F64" s="1"/>
      <c r="G64" s="1"/>
      <c r="H64" s="1"/>
      <c r="I64" s="1"/>
      <c r="J64" s="1"/>
      <c r="K64" s="192"/>
      <c r="L64" s="880"/>
      <c r="M64" s="880"/>
      <c r="N64" s="880"/>
      <c r="O64" s="880"/>
      <c r="P64" s="880"/>
      <c r="Q64" s="880"/>
      <c r="R64" s="334"/>
    </row>
    <row r="65" spans="1:18" ht="13.5" thickBot="1">
      <c r="A65" s="333"/>
      <c r="B65" s="296" t="s">
        <v>306</v>
      </c>
      <c r="C65" s="1"/>
      <c r="D65" s="876"/>
      <c r="E65" s="876"/>
      <c r="F65" s="876"/>
      <c r="G65" s="876"/>
      <c r="H65" s="302" t="s">
        <v>376</v>
      </c>
      <c r="I65" s="888"/>
      <c r="J65" s="898"/>
      <c r="K65" s="192"/>
      <c r="L65" s="891"/>
      <c r="M65" s="891"/>
      <c r="N65" s="891"/>
      <c r="O65" s="891"/>
      <c r="P65" s="891"/>
      <c r="Q65" s="891"/>
      <c r="R65" s="334"/>
    </row>
    <row r="66" spans="1:18" ht="13.5" thickBot="1">
      <c r="A66" s="333"/>
      <c r="B66" s="296"/>
      <c r="C66" s="1"/>
      <c r="D66" s="323"/>
      <c r="E66" s="323"/>
      <c r="F66" s="323"/>
      <c r="G66" s="323"/>
      <c r="H66" s="302"/>
      <c r="I66" s="313"/>
      <c r="J66" s="313"/>
      <c r="K66" s="192"/>
      <c r="L66" s="880"/>
      <c r="M66" s="880"/>
      <c r="N66" s="880"/>
      <c r="O66" s="880"/>
      <c r="P66" s="880"/>
      <c r="Q66" s="880"/>
      <c r="R66" s="334"/>
    </row>
    <row r="67" spans="1:18" ht="13.5" thickBot="1">
      <c r="A67" s="333"/>
      <c r="B67" s="296" t="s">
        <v>304</v>
      </c>
      <c r="C67" s="880"/>
      <c r="D67" s="880"/>
      <c r="E67" s="880"/>
      <c r="F67" s="880"/>
      <c r="G67" s="880"/>
      <c r="H67" s="302"/>
      <c r="I67" s="313"/>
      <c r="J67" s="313"/>
      <c r="K67" s="192"/>
      <c r="L67" s="880"/>
      <c r="M67" s="880"/>
      <c r="N67" s="880"/>
      <c r="O67" s="880"/>
      <c r="P67" s="880"/>
      <c r="Q67" s="880"/>
      <c r="R67" s="334"/>
    </row>
    <row r="68" spans="1:18" ht="13.5" thickBot="1">
      <c r="A68" s="333"/>
      <c r="B68" s="324" t="s">
        <v>377</v>
      </c>
      <c r="C68" s="896" t="s">
        <v>378</v>
      </c>
      <c r="D68" s="896"/>
      <c r="E68" s="896"/>
      <c r="F68" s="323"/>
      <c r="G68" s="323"/>
      <c r="H68" s="302"/>
      <c r="I68" s="313"/>
      <c r="J68" s="313"/>
      <c r="K68" s="192"/>
      <c r="L68" s="880"/>
      <c r="M68" s="880"/>
      <c r="N68" s="880"/>
      <c r="O68" s="880"/>
      <c r="P68" s="880"/>
      <c r="Q68" s="880"/>
      <c r="R68" s="334"/>
    </row>
    <row r="69" spans="1:18" ht="13.5" thickBot="1">
      <c r="A69" s="337"/>
      <c r="B69" s="338">
        <v>2006</v>
      </c>
      <c r="C69" s="897"/>
      <c r="D69" s="897"/>
      <c r="E69" s="897"/>
      <c r="F69" s="325"/>
      <c r="G69" s="325"/>
      <c r="H69" s="325"/>
      <c r="I69" s="325"/>
      <c r="J69" s="325"/>
      <c r="K69" s="339"/>
      <c r="L69" s="325"/>
      <c r="M69" s="325"/>
      <c r="N69" s="325"/>
      <c r="O69" s="325"/>
      <c r="P69" s="325"/>
      <c r="Q69" s="325"/>
      <c r="R69" s="340"/>
    </row>
  </sheetData>
  <mergeCells count="44">
    <mergeCell ref="L68:Q68"/>
    <mergeCell ref="I65:J65"/>
    <mergeCell ref="D65:G65"/>
    <mergeCell ref="C67:G67"/>
    <mergeCell ref="B19:H19"/>
    <mergeCell ref="B46:P46"/>
    <mergeCell ref="B47:P47"/>
    <mergeCell ref="B48:P48"/>
    <mergeCell ref="E50:Q50"/>
    <mergeCell ref="C68:E69"/>
    <mergeCell ref="L64:Q64"/>
    <mergeCell ref="L65:Q65"/>
    <mergeCell ref="L66:Q66"/>
    <mergeCell ref="L67:Q67"/>
    <mergeCell ref="D6:G6"/>
    <mergeCell ref="E51:Q51"/>
    <mergeCell ref="G53:Q53"/>
    <mergeCell ref="G8:O8"/>
    <mergeCell ref="E10:H10"/>
    <mergeCell ref="M10:N10"/>
    <mergeCell ref="E12:G12"/>
    <mergeCell ref="H12:J12"/>
    <mergeCell ref="L12:O12"/>
    <mergeCell ref="B16:H16"/>
    <mergeCell ref="B22:E22"/>
    <mergeCell ref="G22:H22"/>
    <mergeCell ref="J16:P16"/>
    <mergeCell ref="J19:P19"/>
    <mergeCell ref="J22:P22"/>
    <mergeCell ref="D3:H3"/>
    <mergeCell ref="I3:K3"/>
    <mergeCell ref="L3:O3"/>
    <mergeCell ref="L6:O6"/>
    <mergeCell ref="I5:K6"/>
    <mergeCell ref="L35:P35"/>
    <mergeCell ref="F55:N55"/>
    <mergeCell ref="A61:R61"/>
    <mergeCell ref="C59:H59"/>
    <mergeCell ref="C57:H57"/>
    <mergeCell ref="I59:J59"/>
    <mergeCell ref="I57:J57"/>
    <mergeCell ref="K57:N57"/>
    <mergeCell ref="P57:Q57"/>
    <mergeCell ref="K59:Q59"/>
  </mergeCells>
  <phoneticPr fontId="10" type="noConversion"/>
  <printOptions horizontalCentered="1" verticalCentered="1"/>
  <pageMargins left="0" right="0" top="0" bottom="0" header="0" footer="0"/>
  <pageSetup scale="87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4" r:id="rId4" name="Check Box 6">
              <controlPr locked="0" defaultSize="0" autoFill="0" autoLine="0" autoPict="0">
                <anchor moveWithCells="1">
                  <from>
                    <xdr:col>1</xdr:col>
                    <xdr:colOff>38100</xdr:colOff>
                    <xdr:row>28</xdr:row>
                    <xdr:rowOff>142875</xdr:rowOff>
                  </from>
                  <to>
                    <xdr:col>1</xdr:col>
                    <xdr:colOff>333375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5" name="Check Box 7">
              <controlPr locked="0" defaultSize="0" autoFill="0" autoLine="0" autoPict="0">
                <anchor moveWithCells="1">
                  <from>
                    <xdr:col>1</xdr:col>
                    <xdr:colOff>38100</xdr:colOff>
                    <xdr:row>29</xdr:row>
                    <xdr:rowOff>133350</xdr:rowOff>
                  </from>
                  <to>
                    <xdr:col>1</xdr:col>
                    <xdr:colOff>333375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6" name="Check Box 8">
              <controlPr locked="0" defaultSize="0" autoFill="0" autoLine="0" autoPict="0">
                <anchor moveWithCells="1">
                  <from>
                    <xdr:col>1</xdr:col>
                    <xdr:colOff>38100</xdr:colOff>
                    <xdr:row>30</xdr:row>
                    <xdr:rowOff>133350</xdr:rowOff>
                  </from>
                  <to>
                    <xdr:col>1</xdr:col>
                    <xdr:colOff>333375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7" name="Check Box 9">
              <controlPr locked="0" defaultSize="0" autoFill="0" autoLine="0" autoPict="0">
                <anchor moveWithCells="1">
                  <from>
                    <xdr:col>1</xdr:col>
                    <xdr:colOff>38100</xdr:colOff>
                    <xdr:row>31</xdr:row>
                    <xdr:rowOff>133350</xdr:rowOff>
                  </from>
                  <to>
                    <xdr:col>1</xdr:col>
                    <xdr:colOff>333375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8" name="Check Box 10">
              <controlPr locked="0" defaultSize="0" autoFill="0" autoLine="0" autoPict="0">
                <anchor moveWithCells="1">
                  <from>
                    <xdr:col>1</xdr:col>
                    <xdr:colOff>38100</xdr:colOff>
                    <xdr:row>32</xdr:row>
                    <xdr:rowOff>142875</xdr:rowOff>
                  </from>
                  <to>
                    <xdr:col>1</xdr:col>
                    <xdr:colOff>333375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9" name="Check Box 11">
              <controlPr locked="0" defaultSize="0" autoFill="0" autoLine="0" autoPict="0">
                <anchor moveWithCells="1">
                  <from>
                    <xdr:col>10</xdr:col>
                    <xdr:colOff>38100</xdr:colOff>
                    <xdr:row>30</xdr:row>
                    <xdr:rowOff>133350</xdr:rowOff>
                  </from>
                  <to>
                    <xdr:col>10</xdr:col>
                    <xdr:colOff>333375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0" name="Check Box 12">
              <controlPr locked="0" defaultSize="0" autoFill="0" autoLine="0" autoPict="0">
                <anchor moveWithCells="1">
                  <from>
                    <xdr:col>10</xdr:col>
                    <xdr:colOff>38100</xdr:colOff>
                    <xdr:row>29</xdr:row>
                    <xdr:rowOff>133350</xdr:rowOff>
                  </from>
                  <to>
                    <xdr:col>10</xdr:col>
                    <xdr:colOff>333375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1" name="Check Box 13">
              <controlPr locked="0" defaultSize="0" autoFill="0" autoLine="0" autoPict="0">
                <anchor moveWithCells="1">
                  <from>
                    <xdr:col>10</xdr:col>
                    <xdr:colOff>38100</xdr:colOff>
                    <xdr:row>28</xdr:row>
                    <xdr:rowOff>133350</xdr:rowOff>
                  </from>
                  <to>
                    <xdr:col>10</xdr:col>
                    <xdr:colOff>333375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12" name="Check Box 17">
              <controlPr locked="0"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142875</xdr:rowOff>
                  </from>
                  <to>
                    <xdr:col>1</xdr:col>
                    <xdr:colOff>342900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13" name="Check Box 18">
              <controlPr locked="0"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133350</xdr:rowOff>
                  </from>
                  <to>
                    <xdr:col>1</xdr:col>
                    <xdr:colOff>342900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14" name="Check Box 19">
              <controlPr locked="0" defaultSize="0" autoFill="0" autoLine="0" autoPict="0">
                <anchor moveWithCells="1">
                  <from>
                    <xdr:col>1</xdr:col>
                    <xdr:colOff>47625</xdr:colOff>
                    <xdr:row>36</xdr:row>
                    <xdr:rowOff>133350</xdr:rowOff>
                  </from>
                  <to>
                    <xdr:col>1</xdr:col>
                    <xdr:colOff>342900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15" name="Check Box 20">
              <controlPr locked="0"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123825</xdr:rowOff>
                  </from>
                  <to>
                    <xdr:col>1</xdr:col>
                    <xdr:colOff>342900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16" name="Check Box 25">
              <controlPr locked="0" defaultSize="0" autoFill="0" autoLine="0" autoPict="0">
                <anchor moveWithCells="1">
                  <from>
                    <xdr:col>4</xdr:col>
                    <xdr:colOff>104775</xdr:colOff>
                    <xdr:row>60</xdr:row>
                    <xdr:rowOff>142875</xdr:rowOff>
                  </from>
                  <to>
                    <xdr:col>6</xdr:col>
                    <xdr:colOff>38100</xdr:colOff>
                    <xdr:row>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17" name="Check Box 26">
              <controlPr locked="0" defaultSize="0" autoFill="0" autoLine="0" autoPict="0">
                <anchor moveWithCells="1">
                  <from>
                    <xdr:col>6</xdr:col>
                    <xdr:colOff>85725</xdr:colOff>
                    <xdr:row>60</xdr:row>
                    <xdr:rowOff>152400</xdr:rowOff>
                  </from>
                  <to>
                    <xdr:col>8</xdr:col>
                    <xdr:colOff>28575</xdr:colOff>
                    <xdr:row>62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18" name="Check Box 28">
              <controlPr locked="0" defaultSize="0" autoFill="0" autoLine="0" autoPict="0">
                <anchor moveWithCells="1">
                  <from>
                    <xdr:col>10</xdr:col>
                    <xdr:colOff>38100</xdr:colOff>
                    <xdr:row>31</xdr:row>
                    <xdr:rowOff>133350</xdr:rowOff>
                  </from>
                  <to>
                    <xdr:col>10</xdr:col>
                    <xdr:colOff>333375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19" name="Check Box 29">
              <controlPr locked="0" defaultSize="0" autoFill="0" autoLine="0" autoPict="0">
                <anchor moveWithCells="1">
                  <from>
                    <xdr:col>14</xdr:col>
                    <xdr:colOff>9525</xdr:colOff>
                    <xdr:row>23</xdr:row>
                    <xdr:rowOff>95250</xdr:rowOff>
                  </from>
                  <to>
                    <xdr:col>15</xdr:col>
                    <xdr:colOff>38100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20" name="Check Box 30">
              <controlPr locked="0"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95250</xdr:rowOff>
                  </from>
                  <to>
                    <xdr:col>16</xdr:col>
                    <xdr:colOff>485775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21" name="Check Box 31">
              <controlPr locked="0" defaultSize="0" autoFill="0" autoLine="0" autoPict="0">
                <anchor moveWithCells="1">
                  <from>
                    <xdr:col>14</xdr:col>
                    <xdr:colOff>9525</xdr:colOff>
                    <xdr:row>25</xdr:row>
                    <xdr:rowOff>133350</xdr:rowOff>
                  </from>
                  <to>
                    <xdr:col>15</xdr:col>
                    <xdr:colOff>38100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22" name="Check Box 32">
              <controlPr locked="0" defaultSize="0" autoFill="0" autoLine="0" autoPict="0">
                <anchor moveWithCells="1">
                  <from>
                    <xdr:col>16</xdr:col>
                    <xdr:colOff>104775</xdr:colOff>
                    <xdr:row>25</xdr:row>
                    <xdr:rowOff>142875</xdr:rowOff>
                  </from>
                  <to>
                    <xdr:col>16</xdr:col>
                    <xdr:colOff>495300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23" name="Check Box 33">
              <controlPr locked="0" defaultSize="0" autoFill="0" autoLine="0" autoPict="0">
                <anchor moveWithCells="1">
                  <from>
                    <xdr:col>10</xdr:col>
                    <xdr:colOff>38100</xdr:colOff>
                    <xdr:row>32</xdr:row>
                    <xdr:rowOff>133350</xdr:rowOff>
                  </from>
                  <to>
                    <xdr:col>10</xdr:col>
                    <xdr:colOff>333375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24" name="Check Box 36">
              <controlPr locked="0" defaultSize="0" autoFill="0" autoLine="0" autoPict="0">
                <anchor moveWithCells="1">
                  <from>
                    <xdr:col>1</xdr:col>
                    <xdr:colOff>47625</xdr:colOff>
                    <xdr:row>41</xdr:row>
                    <xdr:rowOff>133350</xdr:rowOff>
                  </from>
                  <to>
                    <xdr:col>1</xdr:col>
                    <xdr:colOff>342900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25" name="Check Box 37">
              <controlPr locked="0" defaultSize="0" autoFill="0" autoLine="0" autoPict="0">
                <anchor moveWithCells="1">
                  <from>
                    <xdr:col>3</xdr:col>
                    <xdr:colOff>19050</xdr:colOff>
                    <xdr:row>40</xdr:row>
                    <xdr:rowOff>190500</xdr:rowOff>
                  </from>
                  <to>
                    <xdr:col>3</xdr:col>
                    <xdr:colOff>257175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26" name="Check Box 38">
              <controlPr locked="0" defaultSize="0" autoFill="0" autoLine="0" autoPict="0">
                <anchor moveWithCells="1">
                  <from>
                    <xdr:col>3</xdr:col>
                    <xdr:colOff>238125</xdr:colOff>
                    <xdr:row>40</xdr:row>
                    <xdr:rowOff>190500</xdr:rowOff>
                  </from>
                  <to>
                    <xdr:col>4</xdr:col>
                    <xdr:colOff>28575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27" name="Check Box 62">
              <controlPr locked="0" defaultSize="0" autoFill="0" autoLine="0" autoPict="0">
                <anchor moveWithCells="1">
                  <from>
                    <xdr:col>4</xdr:col>
                    <xdr:colOff>104775</xdr:colOff>
                    <xdr:row>61</xdr:row>
                    <xdr:rowOff>133350</xdr:rowOff>
                  </from>
                  <to>
                    <xdr:col>6</xdr:col>
                    <xdr:colOff>266700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28" name="Check Box 63">
              <controlPr locked="0" defaultSize="0" autoFill="0" autoLine="0" autoPict="0">
                <anchor moveWithCells="1">
                  <from>
                    <xdr:col>4</xdr:col>
                    <xdr:colOff>19050</xdr:colOff>
                    <xdr:row>40</xdr:row>
                    <xdr:rowOff>190500</xdr:rowOff>
                  </from>
                  <to>
                    <xdr:col>4</xdr:col>
                    <xdr:colOff>257175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29" name="Check Box 64">
              <controlPr locked="0" defaultSize="0" autoFill="0" autoLine="0" autoPict="0">
                <anchor moveWithCells="1">
                  <from>
                    <xdr:col>4</xdr:col>
                    <xdr:colOff>238125</xdr:colOff>
                    <xdr:row>40</xdr:row>
                    <xdr:rowOff>190500</xdr:rowOff>
                  </from>
                  <to>
                    <xdr:col>5</xdr:col>
                    <xdr:colOff>28575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30" name="Check Box 65">
              <controlPr locked="0" defaultSize="0" autoFill="0" autoLine="0" autoPict="0">
                <anchor moveWithCells="1">
                  <from>
                    <xdr:col>5</xdr:col>
                    <xdr:colOff>19050</xdr:colOff>
                    <xdr:row>40</xdr:row>
                    <xdr:rowOff>190500</xdr:rowOff>
                  </from>
                  <to>
                    <xdr:col>5</xdr:col>
                    <xdr:colOff>257175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31" name="Check Box 66">
              <controlPr locked="0" defaultSize="0" autoFill="0" autoLine="0" autoPict="0">
                <anchor moveWithCells="1">
                  <from>
                    <xdr:col>5</xdr:col>
                    <xdr:colOff>238125</xdr:colOff>
                    <xdr:row>40</xdr:row>
                    <xdr:rowOff>190500</xdr:rowOff>
                  </from>
                  <to>
                    <xdr:col>6</xdr:col>
                    <xdr:colOff>28575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32" name="Check Box 67">
              <controlPr locked="0" defaultSize="0" autoFill="0" autoLine="0" autoPict="0">
                <anchor moveWithCells="1">
                  <from>
                    <xdr:col>6</xdr:col>
                    <xdr:colOff>19050</xdr:colOff>
                    <xdr:row>40</xdr:row>
                    <xdr:rowOff>190500</xdr:rowOff>
                  </from>
                  <to>
                    <xdr:col>6</xdr:col>
                    <xdr:colOff>257175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33" name="Check Box 68">
              <controlPr locked="0" defaultSize="0" autoFill="0" autoLine="0" autoPict="0">
                <anchor moveWithCells="1">
                  <from>
                    <xdr:col>6</xdr:col>
                    <xdr:colOff>238125</xdr:colOff>
                    <xdr:row>40</xdr:row>
                    <xdr:rowOff>190500</xdr:rowOff>
                  </from>
                  <to>
                    <xdr:col>7</xdr:col>
                    <xdr:colOff>28575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34" name="Check Box 69">
              <controlPr locked="0" defaultSize="0" autoFill="0" autoLine="0" autoPict="0">
                <anchor moveWithCells="1">
                  <from>
                    <xdr:col>7</xdr:col>
                    <xdr:colOff>19050</xdr:colOff>
                    <xdr:row>40</xdr:row>
                    <xdr:rowOff>190500</xdr:rowOff>
                  </from>
                  <to>
                    <xdr:col>7</xdr:col>
                    <xdr:colOff>257175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35" name="Check Box 70">
              <controlPr locked="0" defaultSize="0" autoFill="0" autoLine="0" autoPict="0">
                <anchor moveWithCells="1">
                  <from>
                    <xdr:col>7</xdr:col>
                    <xdr:colOff>238125</xdr:colOff>
                    <xdr:row>40</xdr:row>
                    <xdr:rowOff>190500</xdr:rowOff>
                  </from>
                  <to>
                    <xdr:col>8</xdr:col>
                    <xdr:colOff>28575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36" name="Check Box 71">
              <controlPr locked="0" defaultSize="0" autoFill="0" autoLine="0" autoPict="0">
                <anchor moveWithCells="1">
                  <from>
                    <xdr:col>8</xdr:col>
                    <xdr:colOff>19050</xdr:colOff>
                    <xdr:row>40</xdr:row>
                    <xdr:rowOff>190500</xdr:rowOff>
                  </from>
                  <to>
                    <xdr:col>8</xdr:col>
                    <xdr:colOff>257175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37" name="Check Box 72">
              <controlPr locked="0" defaultSize="0" autoFill="0" autoLine="0" autoPict="0">
                <anchor moveWithCells="1">
                  <from>
                    <xdr:col>8</xdr:col>
                    <xdr:colOff>238125</xdr:colOff>
                    <xdr:row>40</xdr:row>
                    <xdr:rowOff>190500</xdr:rowOff>
                  </from>
                  <to>
                    <xdr:col>9</xdr:col>
                    <xdr:colOff>28575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38" name="Check Box 73">
              <controlPr locked="0" defaultSize="0" autoFill="0" autoLine="0" autoPict="0">
                <anchor moveWithCells="1">
                  <from>
                    <xdr:col>9</xdr:col>
                    <xdr:colOff>19050</xdr:colOff>
                    <xdr:row>40</xdr:row>
                    <xdr:rowOff>190500</xdr:rowOff>
                  </from>
                  <to>
                    <xdr:col>9</xdr:col>
                    <xdr:colOff>257175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39" name="Check Box 74">
              <controlPr locked="0" defaultSize="0" autoFill="0" autoLine="0" autoPict="0">
                <anchor moveWithCells="1">
                  <from>
                    <xdr:col>9</xdr:col>
                    <xdr:colOff>238125</xdr:colOff>
                    <xdr:row>40</xdr:row>
                    <xdr:rowOff>190500</xdr:rowOff>
                  </from>
                  <to>
                    <xdr:col>10</xdr:col>
                    <xdr:colOff>28575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40" name="Check Box 75">
              <controlPr locked="0" defaultSize="0" autoFill="0" autoLine="0" autoPict="0">
                <anchor moveWithCells="1">
                  <from>
                    <xdr:col>10</xdr:col>
                    <xdr:colOff>19050</xdr:colOff>
                    <xdr:row>40</xdr:row>
                    <xdr:rowOff>190500</xdr:rowOff>
                  </from>
                  <to>
                    <xdr:col>10</xdr:col>
                    <xdr:colOff>257175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41" name="Check Box 76">
              <controlPr locked="0" defaultSize="0" autoFill="0" autoLine="0" autoPict="0">
                <anchor moveWithCells="1">
                  <from>
                    <xdr:col>10</xdr:col>
                    <xdr:colOff>238125</xdr:colOff>
                    <xdr:row>40</xdr:row>
                    <xdr:rowOff>190500</xdr:rowOff>
                  </from>
                  <to>
                    <xdr:col>11</xdr:col>
                    <xdr:colOff>28575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42" name="Check Box 77">
              <controlPr locked="0" defaultSize="0" autoFill="0" autoLine="0" autoPict="0">
                <anchor moveWithCells="1">
                  <from>
                    <xdr:col>11</xdr:col>
                    <xdr:colOff>19050</xdr:colOff>
                    <xdr:row>40</xdr:row>
                    <xdr:rowOff>190500</xdr:rowOff>
                  </from>
                  <to>
                    <xdr:col>11</xdr:col>
                    <xdr:colOff>257175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43" name="Check Box 78">
              <controlPr locked="0" defaultSize="0" autoFill="0" autoLine="0" autoPict="0">
                <anchor moveWithCells="1">
                  <from>
                    <xdr:col>11</xdr:col>
                    <xdr:colOff>238125</xdr:colOff>
                    <xdr:row>40</xdr:row>
                    <xdr:rowOff>190500</xdr:rowOff>
                  </from>
                  <to>
                    <xdr:col>12</xdr:col>
                    <xdr:colOff>28575</xdr:colOff>
                    <xdr:row>42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844ED-E2F4-42DB-BB16-BBAC0971E462}">
  <sheetPr>
    <pageSetUpPr fitToPage="1"/>
  </sheetPr>
  <dimension ref="A1:K57"/>
  <sheetViews>
    <sheetView workbookViewId="0">
      <selection sqref="A1:H1"/>
    </sheetView>
  </sheetViews>
  <sheetFormatPr defaultRowHeight="12.75"/>
  <cols>
    <col min="1" max="1" width="5.85546875" customWidth="1"/>
    <col min="2" max="2" width="5.7109375" customWidth="1"/>
    <col min="3" max="3" width="15.7109375" customWidth="1"/>
    <col min="4" max="4" width="6.7109375" customWidth="1"/>
    <col min="5" max="5" width="11.7109375" customWidth="1"/>
    <col min="6" max="6" width="12.7109375" customWidth="1"/>
    <col min="7" max="8" width="5.7109375" customWidth="1"/>
    <col min="9" max="9" width="20.7109375" customWidth="1"/>
    <col min="10" max="11" width="4.28515625" customWidth="1"/>
  </cols>
  <sheetData>
    <row r="1" spans="1:11" ht="20.25">
      <c r="A1" s="927" t="s">
        <v>214</v>
      </c>
      <c r="B1" s="927"/>
      <c r="C1" s="928"/>
      <c r="D1" s="928"/>
      <c r="E1" s="928"/>
      <c r="F1" s="928"/>
      <c r="G1" s="928"/>
      <c r="H1" s="928"/>
    </row>
    <row r="2" spans="1:11" ht="20.25">
      <c r="A2" s="927" t="s">
        <v>381</v>
      </c>
      <c r="B2" s="927"/>
      <c r="C2" s="928"/>
      <c r="D2" s="928"/>
      <c r="E2" s="928"/>
      <c r="F2" s="928"/>
      <c r="G2" s="928"/>
      <c r="H2" s="928"/>
    </row>
    <row r="3" spans="1:11" ht="15" customHeight="1" thickBot="1">
      <c r="F3" s="381"/>
      <c r="G3" s="257"/>
      <c r="H3" s="251"/>
    </row>
    <row r="4" spans="1:11">
      <c r="A4" s="937" t="s">
        <v>387</v>
      </c>
      <c r="B4" s="938"/>
      <c r="C4" s="929"/>
      <c r="D4" s="930"/>
      <c r="E4" s="931"/>
      <c r="F4" s="935" t="s">
        <v>390</v>
      </c>
      <c r="G4" s="936"/>
      <c r="H4" s="936"/>
      <c r="I4" s="899"/>
      <c r="J4" s="899"/>
      <c r="K4" s="900"/>
    </row>
    <row r="5" spans="1:11" ht="13.5" thickBot="1">
      <c r="A5" s="939" t="s">
        <v>452</v>
      </c>
      <c r="B5" s="940"/>
      <c r="C5" s="932"/>
      <c r="D5" s="933"/>
      <c r="E5" s="934"/>
      <c r="F5" s="910" t="s">
        <v>392</v>
      </c>
      <c r="G5" s="911"/>
      <c r="H5" s="911"/>
      <c r="I5" s="901"/>
      <c r="J5" s="901"/>
      <c r="K5" s="902"/>
    </row>
    <row r="6" spans="1:11">
      <c r="A6" s="341"/>
      <c r="B6" s="342"/>
      <c r="C6" s="342"/>
      <c r="D6" s="377"/>
      <c r="E6" s="388"/>
      <c r="F6" s="910" t="s">
        <v>391</v>
      </c>
      <c r="G6" s="911"/>
      <c r="H6" s="911"/>
      <c r="I6" s="901"/>
      <c r="J6" s="901"/>
      <c r="K6" s="902"/>
    </row>
    <row r="7" spans="1:11" ht="13.5" thickBot="1">
      <c r="A7" s="918" t="s">
        <v>451</v>
      </c>
      <c r="B7" s="919"/>
      <c r="C7" s="880"/>
      <c r="D7" s="880"/>
      <c r="E7" s="920"/>
      <c r="F7" s="912" t="s">
        <v>455</v>
      </c>
      <c r="G7" s="913"/>
      <c r="H7" s="913"/>
      <c r="I7" s="903"/>
      <c r="J7" s="903"/>
      <c r="K7" s="904"/>
    </row>
    <row r="8" spans="1:11" ht="21" customHeight="1" thickBot="1">
      <c r="A8" s="387" t="s">
        <v>382</v>
      </c>
      <c r="B8" s="923" t="s">
        <v>450</v>
      </c>
      <c r="C8" s="924"/>
      <c r="D8" s="383" t="s">
        <v>385</v>
      </c>
      <c r="E8" s="925" t="s">
        <v>386</v>
      </c>
      <c r="F8" s="926"/>
      <c r="G8" s="383" t="s">
        <v>212</v>
      </c>
      <c r="H8" s="384" t="s">
        <v>400</v>
      </c>
      <c r="I8" s="385" t="s">
        <v>453</v>
      </c>
      <c r="J8" s="385" t="s">
        <v>212</v>
      </c>
      <c r="K8" s="386" t="s">
        <v>400</v>
      </c>
    </row>
    <row r="9" spans="1:11" ht="13.5" thickTop="1">
      <c r="A9" s="357"/>
      <c r="B9" s="921"/>
      <c r="C9" s="922"/>
      <c r="D9" s="358"/>
      <c r="E9" s="946"/>
      <c r="F9" s="947"/>
      <c r="G9" s="252"/>
      <c r="H9" s="378"/>
      <c r="I9" s="580"/>
      <c r="J9" s="581"/>
      <c r="K9" s="582"/>
    </row>
    <row r="10" spans="1:11" ht="15">
      <c r="A10" s="345"/>
      <c r="B10" s="914"/>
      <c r="C10" s="915"/>
      <c r="D10" s="253"/>
      <c r="E10" s="942"/>
      <c r="F10" s="943"/>
      <c r="G10" s="253"/>
      <c r="H10" s="379"/>
      <c r="I10" s="583"/>
      <c r="J10" s="177"/>
      <c r="K10" s="584"/>
    </row>
    <row r="11" spans="1:11" ht="15">
      <c r="A11" s="345"/>
      <c r="B11" s="914"/>
      <c r="C11" s="915"/>
      <c r="D11" s="253"/>
      <c r="E11" s="942"/>
      <c r="F11" s="943"/>
      <c r="G11" s="253"/>
      <c r="H11" s="379"/>
      <c r="I11" s="583"/>
      <c r="J11" s="177"/>
      <c r="K11" s="584"/>
    </row>
    <row r="12" spans="1:11" ht="15">
      <c r="A12" s="345"/>
      <c r="B12" s="914"/>
      <c r="C12" s="915"/>
      <c r="D12" s="253"/>
      <c r="E12" s="942"/>
      <c r="F12" s="943"/>
      <c r="G12" s="253"/>
      <c r="H12" s="379"/>
      <c r="I12" s="583"/>
      <c r="J12" s="177"/>
      <c r="K12" s="584"/>
    </row>
    <row r="13" spans="1:11" ht="15">
      <c r="A13" s="345"/>
      <c r="B13" s="914"/>
      <c r="C13" s="915"/>
      <c r="D13" s="253"/>
      <c r="E13" s="942"/>
      <c r="F13" s="943"/>
      <c r="G13" s="253"/>
      <c r="H13" s="379"/>
      <c r="I13" s="583"/>
      <c r="J13" s="177"/>
      <c r="K13" s="584"/>
    </row>
    <row r="14" spans="1:11" ht="15">
      <c r="A14" s="345"/>
      <c r="B14" s="914"/>
      <c r="C14" s="915"/>
      <c r="D14" s="253"/>
      <c r="E14" s="942"/>
      <c r="F14" s="943"/>
      <c r="G14" s="253"/>
      <c r="H14" s="379"/>
      <c r="I14" s="583"/>
      <c r="J14" s="177"/>
      <c r="K14" s="584"/>
    </row>
    <row r="15" spans="1:11" ht="15">
      <c r="A15" s="345"/>
      <c r="B15" s="914"/>
      <c r="C15" s="915"/>
      <c r="D15" s="253"/>
      <c r="E15" s="942"/>
      <c r="F15" s="943"/>
      <c r="G15" s="253"/>
      <c r="H15" s="379"/>
      <c r="I15" s="583"/>
      <c r="J15" s="177"/>
      <c r="K15" s="584"/>
    </row>
    <row r="16" spans="1:11" ht="15">
      <c r="A16" s="345"/>
      <c r="B16" s="914"/>
      <c r="C16" s="915"/>
      <c r="D16" s="253"/>
      <c r="E16" s="942"/>
      <c r="F16" s="943"/>
      <c r="G16" s="253"/>
      <c r="H16" s="379"/>
      <c r="I16" s="583"/>
      <c r="J16" s="177"/>
      <c r="K16" s="584"/>
    </row>
    <row r="17" spans="1:11" ht="15">
      <c r="A17" s="345"/>
      <c r="B17" s="914"/>
      <c r="C17" s="915"/>
      <c r="D17" s="253"/>
      <c r="E17" s="942"/>
      <c r="F17" s="943"/>
      <c r="G17" s="253"/>
      <c r="H17" s="379"/>
      <c r="I17" s="583"/>
      <c r="J17" s="177"/>
      <c r="K17" s="584"/>
    </row>
    <row r="18" spans="1:11" ht="15">
      <c r="A18" s="345"/>
      <c r="B18" s="914"/>
      <c r="C18" s="915"/>
      <c r="D18" s="253"/>
      <c r="E18" s="942"/>
      <c r="F18" s="943"/>
      <c r="G18" s="253"/>
      <c r="H18" s="379"/>
      <c r="I18" s="583"/>
      <c r="J18" s="177"/>
      <c r="K18" s="584"/>
    </row>
    <row r="19" spans="1:11" ht="15">
      <c r="A19" s="345"/>
      <c r="B19" s="914"/>
      <c r="C19" s="915"/>
      <c r="D19" s="253"/>
      <c r="E19" s="942"/>
      <c r="F19" s="943"/>
      <c r="G19" s="253"/>
      <c r="H19" s="379"/>
      <c r="I19" s="583"/>
      <c r="J19" s="177"/>
      <c r="K19" s="584"/>
    </row>
    <row r="20" spans="1:11" ht="15">
      <c r="A20" s="345"/>
      <c r="B20" s="914"/>
      <c r="C20" s="915"/>
      <c r="D20" s="253"/>
      <c r="E20" s="942"/>
      <c r="F20" s="943"/>
      <c r="G20" s="253"/>
      <c r="H20" s="379"/>
      <c r="I20" s="583"/>
      <c r="J20" s="177"/>
      <c r="K20" s="584"/>
    </row>
    <row r="21" spans="1:11" ht="15">
      <c r="A21" s="345"/>
      <c r="B21" s="914"/>
      <c r="C21" s="915"/>
      <c r="D21" s="253"/>
      <c r="E21" s="942"/>
      <c r="F21" s="943"/>
      <c r="G21" s="253"/>
      <c r="H21" s="379"/>
      <c r="I21" s="583"/>
      <c r="J21" s="177"/>
      <c r="K21" s="584"/>
    </row>
    <row r="22" spans="1:11" ht="15">
      <c r="A22" s="345"/>
      <c r="B22" s="914"/>
      <c r="C22" s="915"/>
      <c r="D22" s="253"/>
      <c r="E22" s="942"/>
      <c r="F22" s="943"/>
      <c r="G22" s="253"/>
      <c r="H22" s="379"/>
      <c r="I22" s="583"/>
      <c r="J22" s="177"/>
      <c r="K22" s="584"/>
    </row>
    <row r="23" spans="1:11" ht="15">
      <c r="A23" s="345"/>
      <c r="B23" s="914"/>
      <c r="C23" s="915"/>
      <c r="D23" s="253"/>
      <c r="E23" s="942"/>
      <c r="F23" s="943"/>
      <c r="G23" s="253"/>
      <c r="H23" s="379"/>
      <c r="I23" s="583"/>
      <c r="J23" s="177"/>
      <c r="K23" s="584"/>
    </row>
    <row r="24" spans="1:11" ht="15">
      <c r="A24" s="345"/>
      <c r="B24" s="914"/>
      <c r="C24" s="915"/>
      <c r="D24" s="253"/>
      <c r="E24" s="942"/>
      <c r="F24" s="943"/>
      <c r="G24" s="253"/>
      <c r="H24" s="379"/>
      <c r="I24" s="583"/>
      <c r="J24" s="177"/>
      <c r="K24" s="584"/>
    </row>
    <row r="25" spans="1:11" ht="15">
      <c r="A25" s="345"/>
      <c r="B25" s="914"/>
      <c r="C25" s="915"/>
      <c r="D25" s="253"/>
      <c r="E25" s="942"/>
      <c r="F25" s="943"/>
      <c r="G25" s="253"/>
      <c r="H25" s="379"/>
      <c r="I25" s="583"/>
      <c r="J25" s="177"/>
      <c r="K25" s="584"/>
    </row>
    <row r="26" spans="1:11" ht="15">
      <c r="A26" s="345"/>
      <c r="B26" s="914"/>
      <c r="C26" s="915"/>
      <c r="D26" s="253"/>
      <c r="E26" s="942"/>
      <c r="F26" s="943"/>
      <c r="G26" s="253"/>
      <c r="H26" s="379"/>
      <c r="I26" s="583"/>
      <c r="J26" s="177"/>
      <c r="K26" s="584"/>
    </row>
    <row r="27" spans="1:11" ht="15">
      <c r="A27" s="345"/>
      <c r="B27" s="914"/>
      <c r="C27" s="915"/>
      <c r="D27" s="253"/>
      <c r="E27" s="942"/>
      <c r="F27" s="943"/>
      <c r="G27" s="253"/>
      <c r="H27" s="379"/>
      <c r="I27" s="583"/>
      <c r="J27" s="177"/>
      <c r="K27" s="584"/>
    </row>
    <row r="28" spans="1:11" ht="15">
      <c r="A28" s="345"/>
      <c r="B28" s="914"/>
      <c r="C28" s="915"/>
      <c r="D28" s="253"/>
      <c r="E28" s="942"/>
      <c r="F28" s="943"/>
      <c r="G28" s="253"/>
      <c r="H28" s="379"/>
      <c r="I28" s="583"/>
      <c r="J28" s="177"/>
      <c r="K28" s="584"/>
    </row>
    <row r="29" spans="1:11" ht="15">
      <c r="A29" s="345"/>
      <c r="B29" s="914"/>
      <c r="C29" s="915"/>
      <c r="D29" s="253"/>
      <c r="E29" s="942"/>
      <c r="F29" s="943"/>
      <c r="G29" s="253"/>
      <c r="H29" s="379"/>
      <c r="I29" s="583"/>
      <c r="J29" s="177"/>
      <c r="K29" s="584"/>
    </row>
    <row r="30" spans="1:11" ht="15">
      <c r="A30" s="345"/>
      <c r="B30" s="914"/>
      <c r="C30" s="915"/>
      <c r="D30" s="253"/>
      <c r="E30" s="942"/>
      <c r="F30" s="943"/>
      <c r="G30" s="253"/>
      <c r="H30" s="379"/>
      <c r="I30" s="583"/>
      <c r="J30" s="177"/>
      <c r="K30" s="584"/>
    </row>
    <row r="31" spans="1:11" ht="15">
      <c r="A31" s="345"/>
      <c r="B31" s="914"/>
      <c r="C31" s="915"/>
      <c r="D31" s="253"/>
      <c r="E31" s="942"/>
      <c r="F31" s="943"/>
      <c r="G31" s="253"/>
      <c r="H31" s="379"/>
      <c r="I31" s="583"/>
      <c r="J31" s="177"/>
      <c r="K31" s="584"/>
    </row>
    <row r="32" spans="1:11" ht="15">
      <c r="A32" s="345"/>
      <c r="B32" s="914"/>
      <c r="C32" s="915"/>
      <c r="D32" s="253"/>
      <c r="E32" s="942"/>
      <c r="F32" s="943"/>
      <c r="G32" s="253"/>
      <c r="H32" s="379"/>
      <c r="I32" s="583"/>
      <c r="J32" s="177"/>
      <c r="K32" s="584"/>
    </row>
    <row r="33" spans="1:11" ht="15">
      <c r="A33" s="345"/>
      <c r="B33" s="914"/>
      <c r="C33" s="915"/>
      <c r="D33" s="253"/>
      <c r="E33" s="942"/>
      <c r="F33" s="943"/>
      <c r="G33" s="253"/>
      <c r="H33" s="379"/>
      <c r="I33" s="583"/>
      <c r="J33" s="177"/>
      <c r="K33" s="584"/>
    </row>
    <row r="34" spans="1:11" ht="15">
      <c r="A34" s="345"/>
      <c r="B34" s="914"/>
      <c r="C34" s="915"/>
      <c r="D34" s="253"/>
      <c r="E34" s="942"/>
      <c r="F34" s="943"/>
      <c r="G34" s="253"/>
      <c r="H34" s="379"/>
      <c r="I34" s="583"/>
      <c r="J34" s="177"/>
      <c r="K34" s="584"/>
    </row>
    <row r="35" spans="1:11" ht="15">
      <c r="A35" s="345"/>
      <c r="B35" s="914"/>
      <c r="C35" s="915"/>
      <c r="D35" s="253"/>
      <c r="E35" s="942"/>
      <c r="F35" s="943"/>
      <c r="G35" s="253"/>
      <c r="H35" s="379"/>
      <c r="I35" s="583"/>
      <c r="J35" s="177"/>
      <c r="K35" s="584"/>
    </row>
    <row r="36" spans="1:11" ht="15">
      <c r="A36" s="345"/>
      <c r="B36" s="914"/>
      <c r="C36" s="915"/>
      <c r="D36" s="253"/>
      <c r="E36" s="942"/>
      <c r="F36" s="943"/>
      <c r="G36" s="253"/>
      <c r="H36" s="379"/>
      <c r="I36" s="583"/>
      <c r="J36" s="177"/>
      <c r="K36" s="584"/>
    </row>
    <row r="37" spans="1:11" ht="15">
      <c r="A37" s="345"/>
      <c r="B37" s="914"/>
      <c r="C37" s="915"/>
      <c r="D37" s="253"/>
      <c r="E37" s="942"/>
      <c r="F37" s="943"/>
      <c r="G37" s="253"/>
      <c r="H37" s="379"/>
      <c r="I37" s="583"/>
      <c r="J37" s="177"/>
      <c r="K37" s="584"/>
    </row>
    <row r="38" spans="1:11" ht="15">
      <c r="A38" s="345"/>
      <c r="B38" s="914"/>
      <c r="C38" s="915"/>
      <c r="D38" s="253"/>
      <c r="E38" s="942"/>
      <c r="F38" s="943"/>
      <c r="G38" s="253"/>
      <c r="H38" s="379"/>
      <c r="I38" s="583"/>
      <c r="J38" s="177"/>
      <c r="K38" s="584"/>
    </row>
    <row r="39" spans="1:11" ht="15">
      <c r="A39" s="345"/>
      <c r="B39" s="914"/>
      <c r="C39" s="915"/>
      <c r="D39" s="253"/>
      <c r="E39" s="942"/>
      <c r="F39" s="943"/>
      <c r="G39" s="253"/>
      <c r="H39" s="379"/>
      <c r="I39" s="583"/>
      <c r="J39" s="177"/>
      <c r="K39" s="584"/>
    </row>
    <row r="40" spans="1:11" ht="15">
      <c r="A40" s="345"/>
      <c r="B40" s="914"/>
      <c r="C40" s="915"/>
      <c r="D40" s="253"/>
      <c r="E40" s="942"/>
      <c r="F40" s="943"/>
      <c r="G40" s="253"/>
      <c r="H40" s="379"/>
      <c r="I40" s="583"/>
      <c r="J40" s="177"/>
      <c r="K40" s="584"/>
    </row>
    <row r="41" spans="1:11" ht="15">
      <c r="A41" s="345"/>
      <c r="B41" s="914"/>
      <c r="C41" s="915"/>
      <c r="D41" s="253"/>
      <c r="E41" s="942"/>
      <c r="F41" s="943"/>
      <c r="G41" s="253"/>
      <c r="H41" s="379"/>
      <c r="I41" s="583"/>
      <c r="J41" s="177"/>
      <c r="K41" s="584"/>
    </row>
    <row r="42" spans="1:11" ht="15">
      <c r="A42" s="345"/>
      <c r="B42" s="914"/>
      <c r="C42" s="915"/>
      <c r="D42" s="253"/>
      <c r="E42" s="942"/>
      <c r="F42" s="943"/>
      <c r="G42" s="253"/>
      <c r="H42" s="379"/>
      <c r="I42" s="583"/>
      <c r="J42" s="177"/>
      <c r="K42" s="584"/>
    </row>
    <row r="43" spans="1:11" ht="15">
      <c r="A43" s="345"/>
      <c r="B43" s="914"/>
      <c r="C43" s="915"/>
      <c r="D43" s="253"/>
      <c r="E43" s="942"/>
      <c r="F43" s="943"/>
      <c r="G43" s="253"/>
      <c r="H43" s="379"/>
      <c r="I43" s="583"/>
      <c r="J43" s="177"/>
      <c r="K43" s="584"/>
    </row>
    <row r="44" spans="1:11" ht="15">
      <c r="A44" s="345"/>
      <c r="B44" s="914"/>
      <c r="C44" s="915"/>
      <c r="D44" s="253"/>
      <c r="E44" s="942"/>
      <c r="F44" s="943"/>
      <c r="G44" s="253"/>
      <c r="H44" s="379"/>
      <c r="I44" s="583"/>
      <c r="J44" s="177"/>
      <c r="K44" s="584"/>
    </row>
    <row r="45" spans="1:11" ht="15">
      <c r="A45" s="345"/>
      <c r="B45" s="914"/>
      <c r="C45" s="915"/>
      <c r="D45" s="253"/>
      <c r="E45" s="942"/>
      <c r="F45" s="943"/>
      <c r="G45" s="253"/>
      <c r="H45" s="379"/>
      <c r="I45" s="583"/>
      <c r="J45" s="177"/>
      <c r="K45" s="584"/>
    </row>
    <row r="46" spans="1:11" ht="15">
      <c r="A46" s="345"/>
      <c r="B46" s="914"/>
      <c r="C46" s="915"/>
      <c r="D46" s="253"/>
      <c r="E46" s="942"/>
      <c r="F46" s="943"/>
      <c r="G46" s="253"/>
      <c r="H46" s="379"/>
      <c r="I46" s="583"/>
      <c r="J46" s="177"/>
      <c r="K46" s="584"/>
    </row>
    <row r="47" spans="1:11" ht="15">
      <c r="A47" s="345"/>
      <c r="B47" s="914"/>
      <c r="C47" s="915"/>
      <c r="D47" s="253"/>
      <c r="E47" s="942"/>
      <c r="F47" s="943"/>
      <c r="G47" s="253"/>
      <c r="H47" s="379"/>
      <c r="I47" s="583"/>
      <c r="J47" s="177"/>
      <c r="K47" s="584"/>
    </row>
    <row r="48" spans="1:11" ht="15.75" thickBot="1">
      <c r="A48" s="347"/>
      <c r="B48" s="916"/>
      <c r="C48" s="917"/>
      <c r="D48" s="348"/>
      <c r="E48" s="948"/>
      <c r="F48" s="949"/>
      <c r="G48" s="348"/>
      <c r="H48" s="380"/>
      <c r="I48" s="585"/>
      <c r="J48" s="586"/>
      <c r="K48" s="587"/>
    </row>
    <row r="49" spans="1:9" ht="4.1500000000000004" customHeight="1">
      <c r="A49" s="351"/>
      <c r="B49" s="351"/>
      <c r="C49" s="352"/>
      <c r="D49" s="352"/>
      <c r="E49" s="352"/>
      <c r="F49" s="352"/>
      <c r="G49" s="351"/>
      <c r="H49" s="351"/>
    </row>
    <row r="50" spans="1:9" ht="14.25">
      <c r="A50" s="908" t="s">
        <v>454</v>
      </c>
      <c r="B50" s="908"/>
      <c r="C50" s="908"/>
      <c r="D50" s="908"/>
      <c r="E50" s="908"/>
      <c r="F50" s="908"/>
      <c r="G50" s="908"/>
      <c r="H50" s="909"/>
    </row>
    <row r="51" spans="1:9" ht="4.1500000000000004" customHeight="1" thickBot="1"/>
    <row r="52" spans="1:9">
      <c r="A52" s="355" t="s">
        <v>377</v>
      </c>
      <c r="B52" s="355"/>
      <c r="D52" s="905" t="s">
        <v>216</v>
      </c>
      <c r="E52" s="906"/>
      <c r="F52" s="906"/>
      <c r="G52" s="906" t="s">
        <v>1</v>
      </c>
      <c r="H52" s="941"/>
      <c r="I52" s="382" t="s">
        <v>127</v>
      </c>
    </row>
    <row r="53" spans="1:9" ht="25.15" customHeight="1" thickBot="1">
      <c r="A53" s="356">
        <v>2006</v>
      </c>
      <c r="B53" s="356"/>
      <c r="C53" s="354" t="s">
        <v>395</v>
      </c>
      <c r="D53" s="907"/>
      <c r="E53" s="880"/>
      <c r="F53" s="880"/>
      <c r="G53" s="944"/>
      <c r="H53" s="945"/>
      <c r="I53" s="513"/>
    </row>
    <row r="57" spans="1:9">
      <c r="I57" s="1"/>
    </row>
  </sheetData>
  <mergeCells count="103">
    <mergeCell ref="E39:F39"/>
    <mergeCell ref="E40:F40"/>
    <mergeCell ref="E41:F41"/>
    <mergeCell ref="E46:F46"/>
    <mergeCell ref="E47:F47"/>
    <mergeCell ref="E48:F48"/>
    <mergeCell ref="E42:F42"/>
    <mergeCell ref="E43:F43"/>
    <mergeCell ref="E44:F44"/>
    <mergeCell ref="E45:F45"/>
    <mergeCell ref="E33:F33"/>
    <mergeCell ref="E34:F34"/>
    <mergeCell ref="E35:F35"/>
    <mergeCell ref="E36:F36"/>
    <mergeCell ref="E37:F37"/>
    <mergeCell ref="E38:F38"/>
    <mergeCell ref="E27:F27"/>
    <mergeCell ref="E28:F28"/>
    <mergeCell ref="E29:F29"/>
    <mergeCell ref="E30:F30"/>
    <mergeCell ref="E31:F31"/>
    <mergeCell ref="E32:F32"/>
    <mergeCell ref="G53:H53"/>
    <mergeCell ref="E9:F9"/>
    <mergeCell ref="E10:F10"/>
    <mergeCell ref="E11:F11"/>
    <mergeCell ref="E12:F12"/>
    <mergeCell ref="E13:F13"/>
    <mergeCell ref="E14:F14"/>
    <mergeCell ref="E15:F15"/>
    <mergeCell ref="E22:F22"/>
    <mergeCell ref="E23:F23"/>
    <mergeCell ref="G52:H52"/>
    <mergeCell ref="E16:F16"/>
    <mergeCell ref="E17:F17"/>
    <mergeCell ref="E18:F18"/>
    <mergeCell ref="E19:F19"/>
    <mergeCell ref="E20:F20"/>
    <mergeCell ref="E21:F21"/>
    <mergeCell ref="E24:F24"/>
    <mergeCell ref="E25:F25"/>
    <mergeCell ref="E26:F26"/>
    <mergeCell ref="A1:H1"/>
    <mergeCell ref="A2:H2"/>
    <mergeCell ref="C4:E4"/>
    <mergeCell ref="C5:E5"/>
    <mergeCell ref="F4:H4"/>
    <mergeCell ref="F5:H5"/>
    <mergeCell ref="A4:B4"/>
    <mergeCell ref="A5:B5"/>
    <mergeCell ref="B11:C11"/>
    <mergeCell ref="B12:C12"/>
    <mergeCell ref="B13:C13"/>
    <mergeCell ref="B14:C14"/>
    <mergeCell ref="A7:B7"/>
    <mergeCell ref="C7:E7"/>
    <mergeCell ref="B9:C9"/>
    <mergeCell ref="B10:C10"/>
    <mergeCell ref="B8:C8"/>
    <mergeCell ref="E8:F8"/>
    <mergeCell ref="B19:C19"/>
    <mergeCell ref="B20:C20"/>
    <mergeCell ref="B21:C21"/>
    <mergeCell ref="B22:C22"/>
    <mergeCell ref="B15:C15"/>
    <mergeCell ref="B16:C16"/>
    <mergeCell ref="B17:C17"/>
    <mergeCell ref="B18:C18"/>
    <mergeCell ref="B27:C27"/>
    <mergeCell ref="B28:C28"/>
    <mergeCell ref="B29:C29"/>
    <mergeCell ref="B30:C30"/>
    <mergeCell ref="B23:C23"/>
    <mergeCell ref="B24:C24"/>
    <mergeCell ref="B25:C25"/>
    <mergeCell ref="B26:C26"/>
    <mergeCell ref="B35:C35"/>
    <mergeCell ref="B36:C36"/>
    <mergeCell ref="B42:C42"/>
    <mergeCell ref="B43:C43"/>
    <mergeCell ref="B31:C31"/>
    <mergeCell ref="B32:C32"/>
    <mergeCell ref="B33:C33"/>
    <mergeCell ref="B34:C34"/>
    <mergeCell ref="B46:C46"/>
    <mergeCell ref="B47:C47"/>
    <mergeCell ref="B48:C48"/>
    <mergeCell ref="B41:C41"/>
    <mergeCell ref="B44:C44"/>
    <mergeCell ref="B37:C37"/>
    <mergeCell ref="B38:C38"/>
    <mergeCell ref="B39:C39"/>
    <mergeCell ref="B40:C40"/>
    <mergeCell ref="I4:K4"/>
    <mergeCell ref="I5:K5"/>
    <mergeCell ref="I6:K6"/>
    <mergeCell ref="I7:K7"/>
    <mergeCell ref="D52:F52"/>
    <mergeCell ref="D53:F53"/>
    <mergeCell ref="A50:H50"/>
    <mergeCell ref="F6:H6"/>
    <mergeCell ref="F7:H7"/>
    <mergeCell ref="B45:C45"/>
  </mergeCells>
  <phoneticPr fontId="10" type="noConversion"/>
  <printOptions horizontalCentered="1"/>
  <pageMargins left="0" right="0" top="0" bottom="0" header="0" footer="0"/>
  <pageSetup orientation="portrait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DFDCA-8EFD-44A2-94CC-0146FB8CD485}">
  <sheetPr>
    <pageSetUpPr fitToPage="1"/>
  </sheetPr>
  <dimension ref="A1:I54"/>
  <sheetViews>
    <sheetView workbookViewId="0">
      <selection sqref="A1:I1"/>
    </sheetView>
  </sheetViews>
  <sheetFormatPr defaultRowHeight="12.75"/>
  <cols>
    <col min="1" max="1" width="5.85546875" customWidth="1"/>
    <col min="2" max="2" width="21.5703125" customWidth="1"/>
    <col min="3" max="3" width="15.7109375" customWidth="1"/>
    <col min="4" max="4" width="10.140625" customWidth="1"/>
    <col min="5" max="5" width="6.7109375" customWidth="1"/>
    <col min="6" max="7" width="16.7109375" customWidth="1"/>
    <col min="8" max="9" width="5.7109375" customWidth="1"/>
  </cols>
  <sheetData>
    <row r="1" spans="1:9" ht="20.25">
      <c r="A1" s="927" t="s">
        <v>214</v>
      </c>
      <c r="B1" s="928"/>
      <c r="C1" s="928"/>
      <c r="D1" s="928"/>
      <c r="E1" s="928"/>
      <c r="F1" s="928"/>
      <c r="G1" s="928"/>
      <c r="H1" s="928"/>
      <c r="I1" s="928"/>
    </row>
    <row r="2" spans="1:9" ht="20.25">
      <c r="A2" s="927" t="s">
        <v>215</v>
      </c>
      <c r="B2" s="928"/>
      <c r="C2" s="928"/>
      <c r="D2" s="928"/>
      <c r="E2" s="928"/>
      <c r="F2" s="928"/>
      <c r="G2" s="928"/>
      <c r="H2" s="928"/>
      <c r="I2" s="928"/>
    </row>
    <row r="3" spans="1:9" ht="15" customHeight="1" thickBot="1">
      <c r="G3" s="154"/>
      <c r="I3" s="251"/>
    </row>
    <row r="4" spans="1:9">
      <c r="A4" s="950" t="s">
        <v>387</v>
      </c>
      <c r="B4" s="951"/>
      <c r="C4" s="952"/>
      <c r="D4" s="952"/>
      <c r="E4" s="953"/>
      <c r="F4" s="343" t="s">
        <v>390</v>
      </c>
      <c r="G4" s="954"/>
      <c r="H4" s="955"/>
      <c r="I4" s="956"/>
    </row>
    <row r="5" spans="1:9" ht="13.5" thickBot="1">
      <c r="A5" s="957" t="s">
        <v>388</v>
      </c>
      <c r="B5" s="958"/>
      <c r="C5" s="959"/>
      <c r="D5" s="959"/>
      <c r="E5" s="960"/>
      <c r="F5" s="344" t="s">
        <v>392</v>
      </c>
      <c r="G5" s="961"/>
      <c r="H5" s="962"/>
      <c r="I5" s="963"/>
    </row>
    <row r="6" spans="1:9">
      <c r="A6" s="341" t="s">
        <v>389</v>
      </c>
      <c r="B6" s="342"/>
      <c r="C6" s="955"/>
      <c r="D6" s="955"/>
      <c r="E6" s="956"/>
      <c r="F6" s="965" t="s">
        <v>391</v>
      </c>
      <c r="G6" s="962"/>
      <c r="H6" s="625"/>
      <c r="I6" s="964"/>
    </row>
    <row r="7" spans="1:9" ht="13.5" thickBot="1">
      <c r="A7" s="969" t="s">
        <v>396</v>
      </c>
      <c r="B7" s="970"/>
      <c r="C7" s="970"/>
      <c r="D7" s="625"/>
      <c r="E7" s="964"/>
      <c r="F7" s="974" t="s">
        <v>393</v>
      </c>
      <c r="G7" s="880"/>
      <c r="H7" s="888"/>
      <c r="I7" s="973"/>
    </row>
    <row r="8" spans="1:9" ht="13.5" thickBot="1">
      <c r="A8" s="971" t="s">
        <v>397</v>
      </c>
      <c r="B8" s="880"/>
      <c r="C8" s="880"/>
      <c r="D8" s="972"/>
      <c r="E8" s="973"/>
      <c r="F8" s="975" t="s">
        <v>398</v>
      </c>
      <c r="G8" s="891"/>
      <c r="H8" s="888"/>
      <c r="I8" s="973"/>
    </row>
    <row r="9" spans="1:9" ht="23.25" thickBot="1">
      <c r="A9" s="978" t="s">
        <v>399</v>
      </c>
      <c r="B9" s="979"/>
      <c r="C9" s="361" t="s">
        <v>383</v>
      </c>
      <c r="D9" s="361" t="s">
        <v>384</v>
      </c>
      <c r="E9" s="361" t="s">
        <v>385</v>
      </c>
      <c r="F9" s="982" t="s">
        <v>403</v>
      </c>
      <c r="G9" s="983"/>
      <c r="H9" s="361" t="s">
        <v>212</v>
      </c>
      <c r="I9" s="362" t="s">
        <v>400</v>
      </c>
    </row>
    <row r="10" spans="1:9">
      <c r="A10" s="980"/>
      <c r="B10" s="981"/>
      <c r="C10" s="363"/>
      <c r="D10" s="359"/>
      <c r="E10" s="358"/>
      <c r="F10" s="946"/>
      <c r="G10" s="947"/>
      <c r="H10" s="252"/>
      <c r="I10" s="360"/>
    </row>
    <row r="11" spans="1:9" ht="15">
      <c r="A11" s="984"/>
      <c r="B11" s="985"/>
      <c r="C11" s="364"/>
      <c r="D11" s="366"/>
      <c r="E11" s="253"/>
      <c r="F11" s="942"/>
      <c r="G11" s="943"/>
      <c r="H11" s="253"/>
      <c r="I11" s="346"/>
    </row>
    <row r="12" spans="1:9" ht="15">
      <c r="A12" s="984"/>
      <c r="B12" s="985"/>
      <c r="C12" s="364"/>
      <c r="D12" s="366"/>
      <c r="E12" s="253"/>
      <c r="F12" s="942"/>
      <c r="G12" s="943"/>
      <c r="H12" s="253"/>
      <c r="I12" s="346"/>
    </row>
    <row r="13" spans="1:9" ht="15">
      <c r="A13" s="984"/>
      <c r="B13" s="985"/>
      <c r="C13" s="364"/>
      <c r="D13" s="366"/>
      <c r="E13" s="253"/>
      <c r="F13" s="942"/>
      <c r="G13" s="943"/>
      <c r="H13" s="253"/>
      <c r="I13" s="346"/>
    </row>
    <row r="14" spans="1:9" ht="15">
      <c r="A14" s="984"/>
      <c r="B14" s="985"/>
      <c r="C14" s="364"/>
      <c r="D14" s="366"/>
      <c r="E14" s="253"/>
      <c r="F14" s="942"/>
      <c r="G14" s="943"/>
      <c r="H14" s="253"/>
      <c r="I14" s="346"/>
    </row>
    <row r="15" spans="1:9" ht="15">
      <c r="A15" s="984"/>
      <c r="B15" s="985"/>
      <c r="C15" s="364"/>
      <c r="D15" s="366"/>
      <c r="E15" s="253"/>
      <c r="F15" s="942"/>
      <c r="G15" s="943"/>
      <c r="H15" s="253"/>
      <c r="I15" s="346"/>
    </row>
    <row r="16" spans="1:9" ht="15">
      <c r="A16" s="984"/>
      <c r="B16" s="985"/>
      <c r="C16" s="364"/>
      <c r="D16" s="366"/>
      <c r="E16" s="253"/>
      <c r="F16" s="942"/>
      <c r="G16" s="943"/>
      <c r="H16" s="253"/>
      <c r="I16" s="346"/>
    </row>
    <row r="17" spans="1:9" ht="15">
      <c r="A17" s="984"/>
      <c r="B17" s="985"/>
      <c r="C17" s="364"/>
      <c r="D17" s="366"/>
      <c r="E17" s="253"/>
      <c r="F17" s="942"/>
      <c r="G17" s="943"/>
      <c r="H17" s="253"/>
      <c r="I17" s="346"/>
    </row>
    <row r="18" spans="1:9" ht="15">
      <c r="A18" s="984"/>
      <c r="B18" s="985"/>
      <c r="C18" s="364"/>
      <c r="D18" s="366"/>
      <c r="E18" s="253"/>
      <c r="F18" s="942"/>
      <c r="G18" s="943"/>
      <c r="H18" s="253"/>
      <c r="I18" s="346"/>
    </row>
    <row r="19" spans="1:9" ht="15">
      <c r="A19" s="984"/>
      <c r="B19" s="985"/>
      <c r="C19" s="364"/>
      <c r="D19" s="366"/>
      <c r="E19" s="253"/>
      <c r="F19" s="942"/>
      <c r="G19" s="943"/>
      <c r="H19" s="253"/>
      <c r="I19" s="346"/>
    </row>
    <row r="20" spans="1:9" ht="15">
      <c r="A20" s="984"/>
      <c r="B20" s="985"/>
      <c r="C20" s="364"/>
      <c r="D20" s="366"/>
      <c r="E20" s="253"/>
      <c r="F20" s="942"/>
      <c r="G20" s="943"/>
      <c r="H20" s="253"/>
      <c r="I20" s="346"/>
    </row>
    <row r="21" spans="1:9" ht="15">
      <c r="A21" s="984"/>
      <c r="B21" s="985"/>
      <c r="C21" s="364"/>
      <c r="D21" s="366"/>
      <c r="E21" s="253"/>
      <c r="F21" s="942"/>
      <c r="G21" s="943"/>
      <c r="H21" s="253"/>
      <c r="I21" s="346"/>
    </row>
    <row r="22" spans="1:9" ht="15">
      <c r="A22" s="984"/>
      <c r="B22" s="985"/>
      <c r="C22" s="364"/>
      <c r="D22" s="366"/>
      <c r="E22" s="253"/>
      <c r="F22" s="942"/>
      <c r="G22" s="943"/>
      <c r="H22" s="253"/>
      <c r="I22" s="346"/>
    </row>
    <row r="23" spans="1:9" ht="15">
      <c r="A23" s="984"/>
      <c r="B23" s="985"/>
      <c r="C23" s="364"/>
      <c r="D23" s="366"/>
      <c r="E23" s="253"/>
      <c r="F23" s="942"/>
      <c r="G23" s="943"/>
      <c r="H23" s="253"/>
      <c r="I23" s="346"/>
    </row>
    <row r="24" spans="1:9" ht="15">
      <c r="A24" s="984"/>
      <c r="B24" s="985"/>
      <c r="C24" s="364"/>
      <c r="D24" s="366"/>
      <c r="E24" s="253"/>
      <c r="F24" s="942"/>
      <c r="G24" s="943"/>
      <c r="H24" s="253"/>
      <c r="I24" s="346"/>
    </row>
    <row r="25" spans="1:9" ht="15">
      <c r="A25" s="984"/>
      <c r="B25" s="985"/>
      <c r="C25" s="364"/>
      <c r="D25" s="366"/>
      <c r="E25" s="253"/>
      <c r="F25" s="942"/>
      <c r="G25" s="943"/>
      <c r="H25" s="253"/>
      <c r="I25" s="346"/>
    </row>
    <row r="26" spans="1:9" ht="15">
      <c r="A26" s="984"/>
      <c r="B26" s="985"/>
      <c r="C26" s="364"/>
      <c r="D26" s="366"/>
      <c r="E26" s="253"/>
      <c r="F26" s="942"/>
      <c r="G26" s="943"/>
      <c r="H26" s="253"/>
      <c r="I26" s="346"/>
    </row>
    <row r="27" spans="1:9" ht="15">
      <c r="A27" s="984"/>
      <c r="B27" s="985"/>
      <c r="C27" s="364"/>
      <c r="D27" s="366"/>
      <c r="E27" s="253"/>
      <c r="F27" s="942"/>
      <c r="G27" s="943"/>
      <c r="H27" s="253"/>
      <c r="I27" s="346"/>
    </row>
    <row r="28" spans="1:9" ht="15">
      <c r="A28" s="984"/>
      <c r="B28" s="985"/>
      <c r="C28" s="364"/>
      <c r="D28" s="366"/>
      <c r="E28" s="253"/>
      <c r="F28" s="942"/>
      <c r="G28" s="943"/>
      <c r="H28" s="253"/>
      <c r="I28" s="346"/>
    </row>
    <row r="29" spans="1:9" ht="15">
      <c r="A29" s="984"/>
      <c r="B29" s="985"/>
      <c r="C29" s="364"/>
      <c r="D29" s="366"/>
      <c r="E29" s="253"/>
      <c r="F29" s="942"/>
      <c r="G29" s="943"/>
      <c r="H29" s="253"/>
      <c r="I29" s="346"/>
    </row>
    <row r="30" spans="1:9" ht="15">
      <c r="A30" s="984"/>
      <c r="B30" s="985"/>
      <c r="C30" s="364"/>
      <c r="D30" s="366"/>
      <c r="E30" s="253"/>
      <c r="F30" s="942"/>
      <c r="G30" s="943"/>
      <c r="H30" s="253"/>
      <c r="I30" s="346"/>
    </row>
    <row r="31" spans="1:9" ht="15">
      <c r="A31" s="984"/>
      <c r="B31" s="985"/>
      <c r="C31" s="364"/>
      <c r="D31" s="366"/>
      <c r="E31" s="253"/>
      <c r="F31" s="942"/>
      <c r="G31" s="943"/>
      <c r="H31" s="253"/>
      <c r="I31" s="346"/>
    </row>
    <row r="32" spans="1:9" ht="15">
      <c r="A32" s="984"/>
      <c r="B32" s="985"/>
      <c r="C32" s="364"/>
      <c r="D32" s="366"/>
      <c r="E32" s="253"/>
      <c r="F32" s="942"/>
      <c r="G32" s="943"/>
      <c r="H32" s="253"/>
      <c r="I32" s="346"/>
    </row>
    <row r="33" spans="1:9" ht="15">
      <c r="A33" s="984"/>
      <c r="B33" s="985"/>
      <c r="C33" s="364"/>
      <c r="D33" s="366"/>
      <c r="E33" s="253"/>
      <c r="F33" s="942"/>
      <c r="G33" s="943"/>
      <c r="H33" s="253"/>
      <c r="I33" s="346"/>
    </row>
    <row r="34" spans="1:9" ht="15">
      <c r="A34" s="984"/>
      <c r="B34" s="985"/>
      <c r="C34" s="364"/>
      <c r="D34" s="366"/>
      <c r="E34" s="253"/>
      <c r="F34" s="942"/>
      <c r="G34" s="943"/>
      <c r="H34" s="253"/>
      <c r="I34" s="346"/>
    </row>
    <row r="35" spans="1:9" ht="15">
      <c r="A35" s="984"/>
      <c r="B35" s="985"/>
      <c r="C35" s="364"/>
      <c r="D35" s="366"/>
      <c r="E35" s="253"/>
      <c r="F35" s="942"/>
      <c r="G35" s="943"/>
      <c r="H35" s="253"/>
      <c r="I35" s="346"/>
    </row>
    <row r="36" spans="1:9" ht="15">
      <c r="A36" s="984"/>
      <c r="B36" s="985"/>
      <c r="C36" s="364"/>
      <c r="D36" s="366"/>
      <c r="E36" s="253"/>
      <c r="F36" s="942"/>
      <c r="G36" s="943"/>
      <c r="H36" s="253"/>
      <c r="I36" s="346"/>
    </row>
    <row r="37" spans="1:9" ht="15">
      <c r="A37" s="984"/>
      <c r="B37" s="985"/>
      <c r="C37" s="364"/>
      <c r="D37" s="366"/>
      <c r="E37" s="253"/>
      <c r="F37" s="942"/>
      <c r="G37" s="943"/>
      <c r="H37" s="253"/>
      <c r="I37" s="346"/>
    </row>
    <row r="38" spans="1:9" ht="15">
      <c r="A38" s="984"/>
      <c r="B38" s="985"/>
      <c r="C38" s="364"/>
      <c r="D38" s="366"/>
      <c r="E38" s="253"/>
      <c r="F38" s="942"/>
      <c r="G38" s="943"/>
      <c r="H38" s="253"/>
      <c r="I38" s="346"/>
    </row>
    <row r="39" spans="1:9" ht="15">
      <c r="A39" s="984"/>
      <c r="B39" s="985"/>
      <c r="C39" s="364"/>
      <c r="D39" s="366"/>
      <c r="E39" s="253"/>
      <c r="F39" s="942"/>
      <c r="G39" s="943"/>
      <c r="H39" s="253"/>
      <c r="I39" s="346"/>
    </row>
    <row r="40" spans="1:9" ht="15">
      <c r="A40" s="984"/>
      <c r="B40" s="985"/>
      <c r="C40" s="364"/>
      <c r="D40" s="366"/>
      <c r="E40" s="253"/>
      <c r="F40" s="942"/>
      <c r="G40" s="943"/>
      <c r="H40" s="253"/>
      <c r="I40" s="346"/>
    </row>
    <row r="41" spans="1:9" ht="15">
      <c r="A41" s="984"/>
      <c r="B41" s="985"/>
      <c r="C41" s="364"/>
      <c r="D41" s="366"/>
      <c r="E41" s="253"/>
      <c r="F41" s="942"/>
      <c r="G41" s="943"/>
      <c r="H41" s="253"/>
      <c r="I41" s="346"/>
    </row>
    <row r="42" spans="1:9" ht="15">
      <c r="A42" s="984"/>
      <c r="B42" s="985"/>
      <c r="C42" s="364"/>
      <c r="D42" s="366"/>
      <c r="E42" s="253"/>
      <c r="F42" s="942"/>
      <c r="G42" s="943"/>
      <c r="H42" s="253"/>
      <c r="I42" s="346"/>
    </row>
    <row r="43" spans="1:9" ht="15">
      <c r="A43" s="984"/>
      <c r="B43" s="985"/>
      <c r="C43" s="364"/>
      <c r="D43" s="366"/>
      <c r="E43" s="253"/>
      <c r="F43" s="942"/>
      <c r="G43" s="943"/>
      <c r="H43" s="253"/>
      <c r="I43" s="346"/>
    </row>
    <row r="44" spans="1:9" ht="15">
      <c r="A44" s="984"/>
      <c r="B44" s="985"/>
      <c r="C44" s="364"/>
      <c r="D44" s="366"/>
      <c r="E44" s="253"/>
      <c r="F44" s="942"/>
      <c r="G44" s="943"/>
      <c r="H44" s="253"/>
      <c r="I44" s="346"/>
    </row>
    <row r="45" spans="1:9" ht="15">
      <c r="A45" s="984"/>
      <c r="B45" s="985"/>
      <c r="C45" s="364"/>
      <c r="D45" s="366"/>
      <c r="E45" s="253"/>
      <c r="F45" s="942"/>
      <c r="G45" s="943"/>
      <c r="H45" s="253"/>
      <c r="I45" s="346"/>
    </row>
    <row r="46" spans="1:9" ht="15">
      <c r="A46" s="984"/>
      <c r="B46" s="985"/>
      <c r="C46" s="364"/>
      <c r="D46" s="366"/>
      <c r="E46" s="253"/>
      <c r="F46" s="942"/>
      <c r="G46" s="943"/>
      <c r="H46" s="253"/>
      <c r="I46" s="346"/>
    </row>
    <row r="47" spans="1:9" ht="15">
      <c r="A47" s="984"/>
      <c r="B47" s="985"/>
      <c r="C47" s="364"/>
      <c r="D47" s="366"/>
      <c r="E47" s="253"/>
      <c r="F47" s="942"/>
      <c r="G47" s="943"/>
      <c r="H47" s="253"/>
      <c r="I47" s="346"/>
    </row>
    <row r="48" spans="1:9" ht="15">
      <c r="A48" s="984"/>
      <c r="B48" s="985"/>
      <c r="C48" s="364"/>
      <c r="D48" s="366"/>
      <c r="E48" s="253"/>
      <c r="F48" s="942"/>
      <c r="G48" s="943"/>
      <c r="H48" s="253"/>
      <c r="I48" s="346"/>
    </row>
    <row r="49" spans="1:9" ht="15.75" thickBot="1">
      <c r="A49" s="986"/>
      <c r="B49" s="987"/>
      <c r="C49" s="365"/>
      <c r="D49" s="367"/>
      <c r="E49" s="348"/>
      <c r="F49" s="948"/>
      <c r="G49" s="949"/>
      <c r="H49" s="348"/>
      <c r="I49" s="349"/>
    </row>
    <row r="50" spans="1:9" ht="4.1500000000000004" customHeight="1" thickBot="1">
      <c r="A50" s="351"/>
      <c r="B50" s="352"/>
      <c r="C50" s="352"/>
      <c r="D50" s="353"/>
      <c r="E50" s="352"/>
      <c r="F50" s="352"/>
      <c r="G50" s="352"/>
      <c r="H50" s="351"/>
      <c r="I50" s="351"/>
    </row>
    <row r="51" spans="1:9" ht="15.75" thickBot="1">
      <c r="A51" s="351"/>
      <c r="B51" s="352"/>
      <c r="C51" s="966" t="s">
        <v>394</v>
      </c>
      <c r="D51" s="967"/>
      <c r="E51" s="967"/>
      <c r="F51" s="967"/>
      <c r="G51" s="967"/>
      <c r="H51" s="967"/>
      <c r="I51" s="968"/>
    </row>
    <row r="52" spans="1:9" ht="4.1500000000000004" customHeight="1" thickBot="1"/>
    <row r="53" spans="1:9">
      <c r="A53" s="355" t="s">
        <v>377</v>
      </c>
      <c r="D53" s="905" t="s">
        <v>216</v>
      </c>
      <c r="E53" s="941"/>
      <c r="F53" s="941"/>
      <c r="G53" s="350" t="s">
        <v>127</v>
      </c>
      <c r="H53" s="906" t="s">
        <v>1</v>
      </c>
      <c r="I53" s="976"/>
    </row>
    <row r="54" spans="1:9" ht="25.15" customHeight="1" thickBot="1">
      <c r="A54" s="356">
        <v>2006</v>
      </c>
      <c r="B54" s="354" t="s">
        <v>401</v>
      </c>
      <c r="D54" s="907"/>
      <c r="E54" s="880"/>
      <c r="F54" s="880"/>
      <c r="G54" s="326"/>
      <c r="H54" s="944"/>
      <c r="I54" s="977"/>
    </row>
  </sheetData>
  <mergeCells count="106">
    <mergeCell ref="F42:G42"/>
    <mergeCell ref="F47:G47"/>
    <mergeCell ref="F48:G48"/>
    <mergeCell ref="F49:G49"/>
    <mergeCell ref="F43:G43"/>
    <mergeCell ref="F44:G44"/>
    <mergeCell ref="F45:G45"/>
    <mergeCell ref="F46:G46"/>
    <mergeCell ref="F36:G36"/>
    <mergeCell ref="F37:G37"/>
    <mergeCell ref="F38:G38"/>
    <mergeCell ref="F39:G39"/>
    <mergeCell ref="F40:G40"/>
    <mergeCell ref="F41:G41"/>
    <mergeCell ref="F30:G30"/>
    <mergeCell ref="F31:G31"/>
    <mergeCell ref="F32:G32"/>
    <mergeCell ref="F33:G33"/>
    <mergeCell ref="F34:G34"/>
    <mergeCell ref="F35:G35"/>
    <mergeCell ref="F24:G24"/>
    <mergeCell ref="F25:G25"/>
    <mergeCell ref="F26:G26"/>
    <mergeCell ref="F27:G27"/>
    <mergeCell ref="F28:G28"/>
    <mergeCell ref="F29:G29"/>
    <mergeCell ref="A49:B49"/>
    <mergeCell ref="F10:G10"/>
    <mergeCell ref="F11:G11"/>
    <mergeCell ref="F12:G12"/>
    <mergeCell ref="F13:G13"/>
    <mergeCell ref="F14:G14"/>
    <mergeCell ref="F15:G15"/>
    <mergeCell ref="F16:G16"/>
    <mergeCell ref="F19:G19"/>
    <mergeCell ref="F20:G20"/>
    <mergeCell ref="A43:B43"/>
    <mergeCell ref="A44:B44"/>
    <mergeCell ref="A45:B45"/>
    <mergeCell ref="A46:B46"/>
    <mergeCell ref="A47:B47"/>
    <mergeCell ref="A48:B48"/>
    <mergeCell ref="A37:B37"/>
    <mergeCell ref="A38:B38"/>
    <mergeCell ref="A39:B39"/>
    <mergeCell ref="A40:B40"/>
    <mergeCell ref="A41:B41"/>
    <mergeCell ref="A42:B42"/>
    <mergeCell ref="A31:B31"/>
    <mergeCell ref="A32:B32"/>
    <mergeCell ref="A33:B33"/>
    <mergeCell ref="A34:B34"/>
    <mergeCell ref="A35:B35"/>
    <mergeCell ref="A36:B36"/>
    <mergeCell ref="A25:B25"/>
    <mergeCell ref="A26:B26"/>
    <mergeCell ref="A27:B27"/>
    <mergeCell ref="A28:B28"/>
    <mergeCell ref="A29:B29"/>
    <mergeCell ref="A30:B30"/>
    <mergeCell ref="A19:B19"/>
    <mergeCell ref="A20:B20"/>
    <mergeCell ref="A21:B21"/>
    <mergeCell ref="A22:B22"/>
    <mergeCell ref="A23:B23"/>
    <mergeCell ref="A24:B24"/>
    <mergeCell ref="A13:B13"/>
    <mergeCell ref="A14:B14"/>
    <mergeCell ref="A15:B15"/>
    <mergeCell ref="A16:B16"/>
    <mergeCell ref="A17:B17"/>
    <mergeCell ref="A18:B18"/>
    <mergeCell ref="A9:B9"/>
    <mergeCell ref="A10:B10"/>
    <mergeCell ref="H8:I8"/>
    <mergeCell ref="F9:G9"/>
    <mergeCell ref="A11:B11"/>
    <mergeCell ref="A12:B12"/>
    <mergeCell ref="F18:G18"/>
    <mergeCell ref="H7:I7"/>
    <mergeCell ref="F8:G8"/>
    <mergeCell ref="D53:F53"/>
    <mergeCell ref="H53:I53"/>
    <mergeCell ref="D54:F54"/>
    <mergeCell ref="H54:I54"/>
    <mergeCell ref="F21:G21"/>
    <mergeCell ref="F22:G22"/>
    <mergeCell ref="F23:G23"/>
    <mergeCell ref="H6:I6"/>
    <mergeCell ref="C6:E6"/>
    <mergeCell ref="F6:G6"/>
    <mergeCell ref="C51:I51"/>
    <mergeCell ref="A7:C7"/>
    <mergeCell ref="A8:C8"/>
    <mergeCell ref="D7:E7"/>
    <mergeCell ref="D8:E8"/>
    <mergeCell ref="F7:G7"/>
    <mergeCell ref="F17:G17"/>
    <mergeCell ref="A1:I1"/>
    <mergeCell ref="A2:I2"/>
    <mergeCell ref="A4:B4"/>
    <mergeCell ref="C4:E4"/>
    <mergeCell ref="G4:I4"/>
    <mergeCell ref="A5:B5"/>
    <mergeCell ref="C5:E5"/>
    <mergeCell ref="G5:I5"/>
  </mergeCells>
  <phoneticPr fontId="10" type="noConversion"/>
  <printOptions horizontalCentered="1"/>
  <pageMargins left="0" right="0" top="0" bottom="0" header="0" footer="0"/>
  <pageSetup scale="99" orientation="portrait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40957-FDC1-460F-9246-688458BB41DE}">
  <sheetPr>
    <pageSetUpPr fitToPage="1"/>
  </sheetPr>
  <dimension ref="A1:I54"/>
  <sheetViews>
    <sheetView workbookViewId="0">
      <selection sqref="A1:I1"/>
    </sheetView>
  </sheetViews>
  <sheetFormatPr defaultRowHeight="12.75"/>
  <cols>
    <col min="1" max="1" width="5.85546875" customWidth="1"/>
    <col min="2" max="2" width="21.5703125" customWidth="1"/>
    <col min="3" max="3" width="15.7109375" customWidth="1"/>
    <col min="4" max="4" width="10.140625" customWidth="1"/>
    <col min="5" max="5" width="6.7109375" customWidth="1"/>
    <col min="6" max="7" width="16.7109375" customWidth="1"/>
    <col min="8" max="9" width="5.7109375" customWidth="1"/>
  </cols>
  <sheetData>
    <row r="1" spans="1:9" ht="20.25">
      <c r="A1" s="927" t="s">
        <v>214</v>
      </c>
      <c r="B1" s="928"/>
      <c r="C1" s="928"/>
      <c r="D1" s="928"/>
      <c r="E1" s="928"/>
      <c r="F1" s="928"/>
      <c r="G1" s="928"/>
      <c r="H1" s="928"/>
      <c r="I1" s="928"/>
    </row>
    <row r="2" spans="1:9" ht="20.25">
      <c r="A2" s="927" t="s">
        <v>211</v>
      </c>
      <c r="B2" s="928"/>
      <c r="C2" s="928"/>
      <c r="D2" s="928"/>
      <c r="E2" s="928"/>
      <c r="F2" s="928"/>
      <c r="G2" s="928"/>
      <c r="H2" s="928"/>
      <c r="I2" s="928"/>
    </row>
    <row r="3" spans="1:9" ht="15" customHeight="1" thickBot="1">
      <c r="G3" s="154"/>
      <c r="I3" s="251"/>
    </row>
    <row r="4" spans="1:9">
      <c r="A4" s="950" t="s">
        <v>387</v>
      </c>
      <c r="B4" s="951"/>
      <c r="C4" s="952"/>
      <c r="D4" s="952"/>
      <c r="E4" s="953"/>
      <c r="F4" s="343" t="s">
        <v>390</v>
      </c>
      <c r="G4" s="954"/>
      <c r="H4" s="955"/>
      <c r="I4" s="956"/>
    </row>
    <row r="5" spans="1:9" ht="13.5" thickBot="1">
      <c r="A5" s="957" t="s">
        <v>388</v>
      </c>
      <c r="B5" s="958"/>
      <c r="C5" s="959"/>
      <c r="D5" s="959"/>
      <c r="E5" s="960"/>
      <c r="F5" s="344" t="s">
        <v>392</v>
      </c>
      <c r="G5" s="961"/>
      <c r="H5" s="962"/>
      <c r="I5" s="963"/>
    </row>
    <row r="6" spans="1:9">
      <c r="A6" s="341" t="s">
        <v>389</v>
      </c>
      <c r="B6" s="342"/>
      <c r="C6" s="955"/>
      <c r="D6" s="955"/>
      <c r="E6" s="956"/>
      <c r="F6" s="965" t="s">
        <v>391</v>
      </c>
      <c r="G6" s="962"/>
      <c r="H6" s="625"/>
      <c r="I6" s="964"/>
    </row>
    <row r="7" spans="1:9" ht="13.5" thickBot="1">
      <c r="A7" s="969" t="s">
        <v>396</v>
      </c>
      <c r="B7" s="970"/>
      <c r="C7" s="970"/>
      <c r="D7" s="625"/>
      <c r="E7" s="964"/>
      <c r="F7" s="974" t="s">
        <v>393</v>
      </c>
      <c r="G7" s="880"/>
      <c r="H7" s="888"/>
      <c r="I7" s="973"/>
    </row>
    <row r="8" spans="1:9" ht="13.5" thickBot="1">
      <c r="A8" s="971" t="s">
        <v>397</v>
      </c>
      <c r="B8" s="880"/>
      <c r="C8" s="880"/>
      <c r="D8" s="972"/>
      <c r="E8" s="973"/>
      <c r="F8" s="988"/>
      <c r="G8" s="989"/>
      <c r="H8" s="990"/>
      <c r="I8" s="991"/>
    </row>
    <row r="9" spans="1:9" ht="23.25" thickBot="1">
      <c r="A9" s="978" t="s">
        <v>402</v>
      </c>
      <c r="B9" s="979"/>
      <c r="C9" s="361" t="s">
        <v>383</v>
      </c>
      <c r="D9" s="361" t="s">
        <v>384</v>
      </c>
      <c r="E9" s="361" t="s">
        <v>385</v>
      </c>
      <c r="F9" s="982" t="s">
        <v>404</v>
      </c>
      <c r="G9" s="983"/>
      <c r="H9" s="361" t="s">
        <v>212</v>
      </c>
      <c r="I9" s="362" t="s">
        <v>400</v>
      </c>
    </row>
    <row r="10" spans="1:9">
      <c r="A10" s="980"/>
      <c r="B10" s="981"/>
      <c r="C10" s="363"/>
      <c r="D10" s="359"/>
      <c r="E10" s="358"/>
      <c r="F10" s="946"/>
      <c r="G10" s="947"/>
      <c r="H10" s="252"/>
      <c r="I10" s="360"/>
    </row>
    <row r="11" spans="1:9" ht="15">
      <c r="A11" s="984"/>
      <c r="B11" s="985"/>
      <c r="C11" s="364"/>
      <c r="D11" s="366"/>
      <c r="E11" s="253"/>
      <c r="F11" s="942"/>
      <c r="G11" s="943"/>
      <c r="H11" s="253"/>
      <c r="I11" s="346"/>
    </row>
    <row r="12" spans="1:9" ht="15">
      <c r="A12" s="984"/>
      <c r="B12" s="985"/>
      <c r="C12" s="364"/>
      <c r="D12" s="366"/>
      <c r="E12" s="253"/>
      <c r="F12" s="942"/>
      <c r="G12" s="943"/>
      <c r="H12" s="253"/>
      <c r="I12" s="346"/>
    </row>
    <row r="13" spans="1:9" ht="15">
      <c r="A13" s="984"/>
      <c r="B13" s="985"/>
      <c r="C13" s="364"/>
      <c r="D13" s="366"/>
      <c r="E13" s="253"/>
      <c r="F13" s="942"/>
      <c r="G13" s="943"/>
      <c r="H13" s="253"/>
      <c r="I13" s="346"/>
    </row>
    <row r="14" spans="1:9" ht="15">
      <c r="A14" s="984"/>
      <c r="B14" s="985"/>
      <c r="C14" s="364"/>
      <c r="D14" s="366"/>
      <c r="E14" s="253"/>
      <c r="F14" s="942"/>
      <c r="G14" s="943"/>
      <c r="H14" s="253"/>
      <c r="I14" s="346"/>
    </row>
    <row r="15" spans="1:9" ht="15">
      <c r="A15" s="984"/>
      <c r="B15" s="985"/>
      <c r="C15" s="364"/>
      <c r="D15" s="366"/>
      <c r="E15" s="253"/>
      <c r="F15" s="942"/>
      <c r="G15" s="943"/>
      <c r="H15" s="253"/>
      <c r="I15" s="346"/>
    </row>
    <row r="16" spans="1:9" ht="15">
      <c r="A16" s="984"/>
      <c r="B16" s="985"/>
      <c r="C16" s="364"/>
      <c r="D16" s="366"/>
      <c r="E16" s="253"/>
      <c r="F16" s="942"/>
      <c r="G16" s="943"/>
      <c r="H16" s="253"/>
      <c r="I16" s="346"/>
    </row>
    <row r="17" spans="1:9" ht="15">
      <c r="A17" s="984"/>
      <c r="B17" s="985"/>
      <c r="C17" s="364"/>
      <c r="D17" s="366"/>
      <c r="E17" s="253"/>
      <c r="F17" s="942"/>
      <c r="G17" s="943"/>
      <c r="H17" s="253"/>
      <c r="I17" s="346"/>
    </row>
    <row r="18" spans="1:9" ht="15">
      <c r="A18" s="984"/>
      <c r="B18" s="985"/>
      <c r="C18" s="364"/>
      <c r="D18" s="366"/>
      <c r="E18" s="253"/>
      <c r="F18" s="942"/>
      <c r="G18" s="943"/>
      <c r="H18" s="253"/>
      <c r="I18" s="346"/>
    </row>
    <row r="19" spans="1:9" ht="15">
      <c r="A19" s="984"/>
      <c r="B19" s="985"/>
      <c r="C19" s="364"/>
      <c r="D19" s="366"/>
      <c r="E19" s="253"/>
      <c r="F19" s="942"/>
      <c r="G19" s="943"/>
      <c r="H19" s="253"/>
      <c r="I19" s="346"/>
    </row>
    <row r="20" spans="1:9" ht="15">
      <c r="A20" s="984"/>
      <c r="B20" s="985"/>
      <c r="C20" s="364"/>
      <c r="D20" s="366"/>
      <c r="E20" s="253"/>
      <c r="F20" s="942"/>
      <c r="G20" s="943"/>
      <c r="H20" s="253"/>
      <c r="I20" s="346"/>
    </row>
    <row r="21" spans="1:9" ht="15">
      <c r="A21" s="984"/>
      <c r="B21" s="985"/>
      <c r="C21" s="364"/>
      <c r="D21" s="366"/>
      <c r="E21" s="253"/>
      <c r="F21" s="942"/>
      <c r="G21" s="943"/>
      <c r="H21" s="253"/>
      <c r="I21" s="346"/>
    </row>
    <row r="22" spans="1:9" ht="15">
      <c r="A22" s="984"/>
      <c r="B22" s="985"/>
      <c r="C22" s="364"/>
      <c r="D22" s="366"/>
      <c r="E22" s="253"/>
      <c r="F22" s="942"/>
      <c r="G22" s="943"/>
      <c r="H22" s="253"/>
      <c r="I22" s="346"/>
    </row>
    <row r="23" spans="1:9" ht="15">
      <c r="A23" s="984"/>
      <c r="B23" s="985"/>
      <c r="C23" s="364"/>
      <c r="D23" s="366"/>
      <c r="E23" s="253"/>
      <c r="F23" s="942"/>
      <c r="G23" s="943"/>
      <c r="H23" s="253"/>
      <c r="I23" s="346"/>
    </row>
    <row r="24" spans="1:9" ht="15">
      <c r="A24" s="984"/>
      <c r="B24" s="985"/>
      <c r="C24" s="364"/>
      <c r="D24" s="366"/>
      <c r="E24" s="253"/>
      <c r="F24" s="942"/>
      <c r="G24" s="943"/>
      <c r="H24" s="253"/>
      <c r="I24" s="346"/>
    </row>
    <row r="25" spans="1:9" ht="15">
      <c r="A25" s="984"/>
      <c r="B25" s="985"/>
      <c r="C25" s="364"/>
      <c r="D25" s="366"/>
      <c r="E25" s="253"/>
      <c r="F25" s="942"/>
      <c r="G25" s="943"/>
      <c r="H25" s="253"/>
      <c r="I25" s="346"/>
    </row>
    <row r="26" spans="1:9" ht="15">
      <c r="A26" s="984"/>
      <c r="B26" s="985"/>
      <c r="C26" s="364"/>
      <c r="D26" s="366"/>
      <c r="E26" s="253"/>
      <c r="F26" s="942"/>
      <c r="G26" s="943"/>
      <c r="H26" s="253"/>
      <c r="I26" s="346"/>
    </row>
    <row r="27" spans="1:9" ht="15">
      <c r="A27" s="984"/>
      <c r="B27" s="985"/>
      <c r="C27" s="364"/>
      <c r="D27" s="366"/>
      <c r="E27" s="253"/>
      <c r="F27" s="942"/>
      <c r="G27" s="943"/>
      <c r="H27" s="253"/>
      <c r="I27" s="346"/>
    </row>
    <row r="28" spans="1:9" ht="15">
      <c r="A28" s="984"/>
      <c r="B28" s="985"/>
      <c r="C28" s="364"/>
      <c r="D28" s="366"/>
      <c r="E28" s="253"/>
      <c r="F28" s="942"/>
      <c r="G28" s="943"/>
      <c r="H28" s="253"/>
      <c r="I28" s="346"/>
    </row>
    <row r="29" spans="1:9" ht="15">
      <c r="A29" s="984"/>
      <c r="B29" s="985"/>
      <c r="C29" s="364"/>
      <c r="D29" s="366"/>
      <c r="E29" s="253"/>
      <c r="F29" s="942"/>
      <c r="G29" s="943"/>
      <c r="H29" s="253"/>
      <c r="I29" s="346"/>
    </row>
    <row r="30" spans="1:9" ht="15">
      <c r="A30" s="984"/>
      <c r="B30" s="985"/>
      <c r="C30" s="364"/>
      <c r="D30" s="366"/>
      <c r="E30" s="253"/>
      <c r="F30" s="942"/>
      <c r="G30" s="943"/>
      <c r="H30" s="253"/>
      <c r="I30" s="346"/>
    </row>
    <row r="31" spans="1:9" ht="15">
      <c r="A31" s="984"/>
      <c r="B31" s="985"/>
      <c r="C31" s="364"/>
      <c r="D31" s="366"/>
      <c r="E31" s="253"/>
      <c r="F31" s="942"/>
      <c r="G31" s="943"/>
      <c r="H31" s="253"/>
      <c r="I31" s="346"/>
    </row>
    <row r="32" spans="1:9" ht="15">
      <c r="A32" s="984"/>
      <c r="B32" s="985"/>
      <c r="C32" s="364"/>
      <c r="D32" s="366"/>
      <c r="E32" s="253"/>
      <c r="F32" s="942"/>
      <c r="G32" s="943"/>
      <c r="H32" s="253"/>
      <c r="I32" s="346"/>
    </row>
    <row r="33" spans="1:9" ht="15">
      <c r="A33" s="984"/>
      <c r="B33" s="985"/>
      <c r="C33" s="364"/>
      <c r="D33" s="366"/>
      <c r="E33" s="253"/>
      <c r="F33" s="942"/>
      <c r="G33" s="943"/>
      <c r="H33" s="253"/>
      <c r="I33" s="346"/>
    </row>
    <row r="34" spans="1:9" ht="15">
      <c r="A34" s="984"/>
      <c r="B34" s="985"/>
      <c r="C34" s="364"/>
      <c r="D34" s="366"/>
      <c r="E34" s="253"/>
      <c r="F34" s="942"/>
      <c r="G34" s="943"/>
      <c r="H34" s="253"/>
      <c r="I34" s="346"/>
    </row>
    <row r="35" spans="1:9" ht="15">
      <c r="A35" s="984"/>
      <c r="B35" s="985"/>
      <c r="C35" s="364"/>
      <c r="D35" s="366"/>
      <c r="E35" s="253"/>
      <c r="F35" s="942"/>
      <c r="G35" s="943"/>
      <c r="H35" s="253"/>
      <c r="I35" s="346"/>
    </row>
    <row r="36" spans="1:9" ht="15">
      <c r="A36" s="984"/>
      <c r="B36" s="985"/>
      <c r="C36" s="364"/>
      <c r="D36" s="366"/>
      <c r="E36" s="253"/>
      <c r="F36" s="942"/>
      <c r="G36" s="943"/>
      <c r="H36" s="253"/>
      <c r="I36" s="346"/>
    </row>
    <row r="37" spans="1:9" ht="15">
      <c r="A37" s="984"/>
      <c r="B37" s="985"/>
      <c r="C37" s="364"/>
      <c r="D37" s="366"/>
      <c r="E37" s="253"/>
      <c r="F37" s="942"/>
      <c r="G37" s="943"/>
      <c r="H37" s="253"/>
      <c r="I37" s="346"/>
    </row>
    <row r="38" spans="1:9" ht="15">
      <c r="A38" s="984"/>
      <c r="B38" s="985"/>
      <c r="C38" s="364"/>
      <c r="D38" s="366"/>
      <c r="E38" s="253"/>
      <c r="F38" s="942"/>
      <c r="G38" s="943"/>
      <c r="H38" s="253"/>
      <c r="I38" s="346"/>
    </row>
    <row r="39" spans="1:9" ht="15">
      <c r="A39" s="984"/>
      <c r="B39" s="985"/>
      <c r="C39" s="364"/>
      <c r="D39" s="366"/>
      <c r="E39" s="253"/>
      <c r="F39" s="942"/>
      <c r="G39" s="943"/>
      <c r="H39" s="253"/>
      <c r="I39" s="346"/>
    </row>
    <row r="40" spans="1:9" ht="15">
      <c r="A40" s="984"/>
      <c r="B40" s="985"/>
      <c r="C40" s="364"/>
      <c r="D40" s="366"/>
      <c r="E40" s="253"/>
      <c r="F40" s="942"/>
      <c r="G40" s="943"/>
      <c r="H40" s="253"/>
      <c r="I40" s="346"/>
    </row>
    <row r="41" spans="1:9" ht="15">
      <c r="A41" s="984"/>
      <c r="B41" s="985"/>
      <c r="C41" s="364"/>
      <c r="D41" s="366"/>
      <c r="E41" s="253"/>
      <c r="F41" s="942"/>
      <c r="G41" s="943"/>
      <c r="H41" s="253"/>
      <c r="I41" s="346"/>
    </row>
    <row r="42" spans="1:9" ht="15">
      <c r="A42" s="984"/>
      <c r="B42" s="985"/>
      <c r="C42" s="364"/>
      <c r="D42" s="366"/>
      <c r="E42" s="253"/>
      <c r="F42" s="942"/>
      <c r="G42" s="943"/>
      <c r="H42" s="253"/>
      <c r="I42" s="346"/>
    </row>
    <row r="43" spans="1:9" ht="15">
      <c r="A43" s="984"/>
      <c r="B43" s="985"/>
      <c r="C43" s="364"/>
      <c r="D43" s="366"/>
      <c r="E43" s="253"/>
      <c r="F43" s="942"/>
      <c r="G43" s="943"/>
      <c r="H43" s="253"/>
      <c r="I43" s="346"/>
    </row>
    <row r="44" spans="1:9" ht="15">
      <c r="A44" s="984"/>
      <c r="B44" s="985"/>
      <c r="C44" s="364"/>
      <c r="D44" s="366"/>
      <c r="E44" s="253"/>
      <c r="F44" s="942"/>
      <c r="G44" s="943"/>
      <c r="H44" s="253"/>
      <c r="I44" s="346"/>
    </row>
    <row r="45" spans="1:9" ht="15">
      <c r="A45" s="984"/>
      <c r="B45" s="985"/>
      <c r="C45" s="364"/>
      <c r="D45" s="366"/>
      <c r="E45" s="253"/>
      <c r="F45" s="942"/>
      <c r="G45" s="943"/>
      <c r="H45" s="253"/>
      <c r="I45" s="346"/>
    </row>
    <row r="46" spans="1:9" ht="15">
      <c r="A46" s="984"/>
      <c r="B46" s="985"/>
      <c r="C46" s="364"/>
      <c r="D46" s="366"/>
      <c r="E46" s="253"/>
      <c r="F46" s="942"/>
      <c r="G46" s="943"/>
      <c r="H46" s="253"/>
      <c r="I46" s="346"/>
    </row>
    <row r="47" spans="1:9" ht="15">
      <c r="A47" s="984"/>
      <c r="B47" s="985"/>
      <c r="C47" s="364"/>
      <c r="D47" s="366"/>
      <c r="E47" s="253"/>
      <c r="F47" s="942"/>
      <c r="G47" s="943"/>
      <c r="H47" s="253"/>
      <c r="I47" s="346"/>
    </row>
    <row r="48" spans="1:9" ht="15">
      <c r="A48" s="984"/>
      <c r="B48" s="985"/>
      <c r="C48" s="364"/>
      <c r="D48" s="366"/>
      <c r="E48" s="253"/>
      <c r="F48" s="942"/>
      <c r="G48" s="943"/>
      <c r="H48" s="253"/>
      <c r="I48" s="346"/>
    </row>
    <row r="49" spans="1:9" ht="15.75" thickBot="1">
      <c r="A49" s="986"/>
      <c r="B49" s="987"/>
      <c r="C49" s="365"/>
      <c r="D49" s="367"/>
      <c r="E49" s="348"/>
      <c r="F49" s="948"/>
      <c r="G49" s="949"/>
      <c r="H49" s="348"/>
      <c r="I49" s="349"/>
    </row>
    <row r="50" spans="1:9" ht="4.1500000000000004" customHeight="1" thickBot="1">
      <c r="A50" s="351"/>
      <c r="B50" s="352"/>
      <c r="C50" s="352"/>
      <c r="D50" s="353"/>
      <c r="E50" s="352"/>
      <c r="F50" s="352"/>
      <c r="G50" s="352"/>
      <c r="H50" s="351"/>
      <c r="I50" s="351"/>
    </row>
    <row r="51" spans="1:9" ht="15.75" thickBot="1">
      <c r="A51" s="351"/>
      <c r="B51" s="352"/>
      <c r="C51" s="966" t="s">
        <v>394</v>
      </c>
      <c r="D51" s="967"/>
      <c r="E51" s="967"/>
      <c r="F51" s="967"/>
      <c r="G51" s="967"/>
      <c r="H51" s="967"/>
      <c r="I51" s="968"/>
    </row>
    <row r="52" spans="1:9" ht="4.1500000000000004" customHeight="1" thickBot="1"/>
    <row r="53" spans="1:9">
      <c r="A53" s="355" t="s">
        <v>377</v>
      </c>
      <c r="D53" s="905" t="s">
        <v>216</v>
      </c>
      <c r="E53" s="941"/>
      <c r="F53" s="941"/>
      <c r="G53" s="350" t="s">
        <v>127</v>
      </c>
      <c r="H53" s="906" t="s">
        <v>1</v>
      </c>
      <c r="I53" s="976"/>
    </row>
    <row r="54" spans="1:9" ht="25.15" customHeight="1" thickBot="1">
      <c r="A54" s="356">
        <v>2006</v>
      </c>
      <c r="B54" s="354" t="s">
        <v>405</v>
      </c>
      <c r="D54" s="907"/>
      <c r="E54" s="880"/>
      <c r="F54" s="880"/>
      <c r="G54" s="326"/>
      <c r="H54" s="944"/>
      <c r="I54" s="977"/>
    </row>
  </sheetData>
  <mergeCells count="106">
    <mergeCell ref="F42:G42"/>
    <mergeCell ref="F43:G43"/>
    <mergeCell ref="F44:G44"/>
    <mergeCell ref="F45:G45"/>
    <mergeCell ref="F46:G46"/>
    <mergeCell ref="F47:G47"/>
    <mergeCell ref="F36:G36"/>
    <mergeCell ref="F37:G37"/>
    <mergeCell ref="F38:G38"/>
    <mergeCell ref="F39:G39"/>
    <mergeCell ref="F40:G40"/>
    <mergeCell ref="F41:G41"/>
    <mergeCell ref="F30:G30"/>
    <mergeCell ref="F31:G31"/>
    <mergeCell ref="F32:G32"/>
    <mergeCell ref="F33:G33"/>
    <mergeCell ref="F34:G34"/>
    <mergeCell ref="F35:G35"/>
    <mergeCell ref="F24:G24"/>
    <mergeCell ref="F25:G25"/>
    <mergeCell ref="F26:G26"/>
    <mergeCell ref="F27:G27"/>
    <mergeCell ref="F28:G28"/>
    <mergeCell ref="F29:G29"/>
    <mergeCell ref="F18:G18"/>
    <mergeCell ref="F19:G19"/>
    <mergeCell ref="F20:G20"/>
    <mergeCell ref="F21:G21"/>
    <mergeCell ref="F22:G22"/>
    <mergeCell ref="F23:G23"/>
    <mergeCell ref="D54:F54"/>
    <mergeCell ref="H54:I54"/>
    <mergeCell ref="F10:G10"/>
    <mergeCell ref="F11:G11"/>
    <mergeCell ref="F12:G12"/>
    <mergeCell ref="F13:G13"/>
    <mergeCell ref="F14:G14"/>
    <mergeCell ref="F15:G15"/>
    <mergeCell ref="F16:G16"/>
    <mergeCell ref="F17:G17"/>
    <mergeCell ref="A46:B46"/>
    <mergeCell ref="A47:B47"/>
    <mergeCell ref="A48:B48"/>
    <mergeCell ref="A49:B49"/>
    <mergeCell ref="C51:I51"/>
    <mergeCell ref="D53:F53"/>
    <mergeCell ref="H53:I53"/>
    <mergeCell ref="F48:G48"/>
    <mergeCell ref="F49:G49"/>
    <mergeCell ref="A40:B40"/>
    <mergeCell ref="A41:B41"/>
    <mergeCell ref="A42:B42"/>
    <mergeCell ref="A43:B43"/>
    <mergeCell ref="A44:B44"/>
    <mergeCell ref="A45:B45"/>
    <mergeCell ref="A34:B34"/>
    <mergeCell ref="A35:B35"/>
    <mergeCell ref="A36:B36"/>
    <mergeCell ref="A37:B37"/>
    <mergeCell ref="A38:B38"/>
    <mergeCell ref="A39:B39"/>
    <mergeCell ref="A28:B28"/>
    <mergeCell ref="A29:B29"/>
    <mergeCell ref="A30:B30"/>
    <mergeCell ref="A31:B31"/>
    <mergeCell ref="A32:B32"/>
    <mergeCell ref="A33:B33"/>
    <mergeCell ref="A22:B22"/>
    <mergeCell ref="A23:B23"/>
    <mergeCell ref="A24:B24"/>
    <mergeCell ref="A25:B25"/>
    <mergeCell ref="A26:B26"/>
    <mergeCell ref="A27:B27"/>
    <mergeCell ref="A16:B16"/>
    <mergeCell ref="A17:B17"/>
    <mergeCell ref="A18:B18"/>
    <mergeCell ref="A19:B19"/>
    <mergeCell ref="A20:B20"/>
    <mergeCell ref="A21:B21"/>
    <mergeCell ref="A10:B10"/>
    <mergeCell ref="A11:B11"/>
    <mergeCell ref="A12:B12"/>
    <mergeCell ref="A13:B13"/>
    <mergeCell ref="A14:B14"/>
    <mergeCell ref="A15:B15"/>
    <mergeCell ref="A8:C8"/>
    <mergeCell ref="D8:E8"/>
    <mergeCell ref="F8:G8"/>
    <mergeCell ref="H8:I8"/>
    <mergeCell ref="A9:B9"/>
    <mergeCell ref="F9:G9"/>
    <mergeCell ref="C6:E6"/>
    <mergeCell ref="F6:G6"/>
    <mergeCell ref="H6:I6"/>
    <mergeCell ref="A7:C7"/>
    <mergeCell ref="D7:E7"/>
    <mergeCell ref="F7:G7"/>
    <mergeCell ref="H7:I7"/>
    <mergeCell ref="A1:I1"/>
    <mergeCell ref="A2:I2"/>
    <mergeCell ref="A4:B4"/>
    <mergeCell ref="C4:E4"/>
    <mergeCell ref="G4:I4"/>
    <mergeCell ref="A5:B5"/>
    <mergeCell ref="C5:E5"/>
    <mergeCell ref="G5:I5"/>
  </mergeCells>
  <phoneticPr fontId="10" type="noConversion"/>
  <printOptions horizontalCentered="1"/>
  <pageMargins left="0" right="0" top="0" bottom="0" header="0" footer="0"/>
  <pageSetup scale="99" orientation="portrait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2C30B-9C4A-4297-8F6B-4179CA780CDF}">
  <sheetPr>
    <pageSetUpPr fitToPage="1"/>
  </sheetPr>
  <dimension ref="A1:P54"/>
  <sheetViews>
    <sheetView tabSelected="1" topLeftCell="A43" zoomScaleNormal="100" workbookViewId="0">
      <selection activeCell="A47" sqref="A47"/>
    </sheetView>
  </sheetViews>
  <sheetFormatPr defaultRowHeight="12.75"/>
  <cols>
    <col min="1" max="1" width="20.7109375" customWidth="1"/>
    <col min="2" max="6" width="10.7109375" customWidth="1"/>
    <col min="7" max="7" width="11" customWidth="1"/>
    <col min="8" max="16" width="10.7109375" customWidth="1"/>
  </cols>
  <sheetData>
    <row r="1" spans="1:16">
      <c r="A1" s="255" t="s">
        <v>217</v>
      </c>
      <c r="B1" s="256"/>
      <c r="C1" s="256"/>
      <c r="D1" s="256"/>
      <c r="E1" s="256"/>
      <c r="F1" s="256"/>
      <c r="H1" s="9" t="s">
        <v>16</v>
      </c>
      <c r="I1" s="590"/>
      <c r="J1" s="257"/>
      <c r="K1" s="257"/>
      <c r="L1" s="257"/>
      <c r="M1" s="257"/>
      <c r="N1" s="257"/>
      <c r="O1" s="257"/>
    </row>
    <row r="2" spans="1:16">
      <c r="A2" s="258" t="s">
        <v>218</v>
      </c>
      <c r="B2" s="256"/>
      <c r="C2" s="256"/>
      <c r="D2" s="256"/>
      <c r="E2" s="256"/>
      <c r="F2" s="256"/>
      <c r="H2" s="9" t="s">
        <v>219</v>
      </c>
      <c r="I2" s="591" t="s">
        <v>220</v>
      </c>
      <c r="J2" s="257"/>
      <c r="K2" s="257"/>
      <c r="L2" s="257"/>
      <c r="M2" s="257"/>
      <c r="N2" s="257"/>
      <c r="O2" s="257"/>
    </row>
    <row r="3" spans="1:16" ht="13.5" thickBot="1">
      <c r="A3" s="992" t="s">
        <v>221</v>
      </c>
      <c r="B3" s="992"/>
      <c r="C3" s="992"/>
      <c r="D3" s="992"/>
      <c r="E3" s="256"/>
      <c r="F3" s="256"/>
      <c r="H3" s="9" t="s">
        <v>63</v>
      </c>
      <c r="I3" s="592"/>
      <c r="J3" s="257"/>
      <c r="K3" s="257"/>
      <c r="L3" s="257"/>
      <c r="M3" s="257"/>
      <c r="N3" s="257"/>
      <c r="O3" s="257"/>
    </row>
    <row r="4" spans="1:16" ht="39" thickBot="1">
      <c r="A4" s="259" t="s">
        <v>222</v>
      </c>
      <c r="E4" s="260" t="s">
        <v>223</v>
      </c>
      <c r="F4" s="261">
        <v>0</v>
      </c>
      <c r="G4" s="260" t="s">
        <v>224</v>
      </c>
      <c r="H4" s="256"/>
      <c r="I4" s="256"/>
      <c r="J4" s="257"/>
      <c r="K4" s="257"/>
      <c r="L4" s="257"/>
      <c r="M4" s="257"/>
      <c r="N4" s="257"/>
      <c r="O4" s="257"/>
    </row>
    <row r="5" spans="1:16" ht="13.5" thickBot="1">
      <c r="A5" s="254" t="s">
        <v>225</v>
      </c>
      <c r="F5" s="261">
        <v>0</v>
      </c>
      <c r="G5" s="993"/>
      <c r="H5" s="994"/>
      <c r="I5" s="994"/>
      <c r="J5" s="994"/>
      <c r="K5" s="994"/>
      <c r="L5" s="994"/>
      <c r="M5" s="994"/>
      <c r="N5" s="994"/>
      <c r="O5" s="994"/>
    </row>
    <row r="6" spans="1:16" ht="13.5" thickBot="1">
      <c r="A6" s="254" t="s">
        <v>226</v>
      </c>
      <c r="F6" s="261">
        <v>0</v>
      </c>
    </row>
    <row r="7" spans="1:16" ht="13.5" thickBot="1">
      <c r="A7" s="254" t="s">
        <v>227</v>
      </c>
      <c r="F7" s="261">
        <v>0</v>
      </c>
      <c r="H7" s="995"/>
      <c r="I7" s="995"/>
      <c r="J7" s="995"/>
      <c r="K7" s="995"/>
      <c r="L7" s="995"/>
      <c r="M7" s="995"/>
      <c r="N7" s="995"/>
      <c r="O7" s="995"/>
    </row>
    <row r="8" spans="1:16" ht="13.5" thickBot="1">
      <c r="A8" s="254" t="s">
        <v>228</v>
      </c>
      <c r="F8" s="261">
        <v>0</v>
      </c>
    </row>
    <row r="9" spans="1:16" ht="13.5" thickBot="1">
      <c r="A9" s="259" t="s">
        <v>229</v>
      </c>
      <c r="F9" s="262">
        <f>+$F$4*$F$5*$F6*$F$7</f>
        <v>0</v>
      </c>
      <c r="H9" s="995"/>
      <c r="I9" s="995"/>
      <c r="J9" s="995"/>
      <c r="K9" s="995"/>
      <c r="L9" s="995"/>
      <c r="M9" s="995"/>
      <c r="N9" s="995"/>
      <c r="O9" s="995"/>
    </row>
    <row r="10" spans="1:16" ht="13.5" thickBot="1">
      <c r="A10" s="259" t="s">
        <v>230</v>
      </c>
      <c r="F10" s="262" t="str">
        <f>IF(F9=0,"Total Hr ",F9/F7)</f>
        <v xml:space="preserve">Total Hr </v>
      </c>
    </row>
    <row r="11" spans="1:16" ht="13.5" thickBot="1">
      <c r="A11" s="263" t="s">
        <v>1</v>
      </c>
      <c r="B11" s="264"/>
      <c r="C11" s="264"/>
      <c r="D11" s="264"/>
      <c r="E11" s="264"/>
      <c r="F11" s="264"/>
      <c r="G11" s="264"/>
      <c r="H11" s="264"/>
      <c r="I11" s="264"/>
      <c r="J11" s="264"/>
      <c r="K11" s="264"/>
      <c r="L11" s="264"/>
      <c r="M11" s="264"/>
      <c r="N11" s="264"/>
      <c r="O11" s="264"/>
    </row>
    <row r="12" spans="1:16" ht="26.25" thickBot="1">
      <c r="A12" s="265" t="s">
        <v>231</v>
      </c>
      <c r="B12" s="264"/>
      <c r="C12" s="264"/>
      <c r="D12" s="264"/>
      <c r="E12" s="264"/>
      <c r="F12" s="264"/>
      <c r="G12" s="264"/>
      <c r="H12" s="264"/>
      <c r="I12" s="264"/>
      <c r="J12" s="264"/>
      <c r="K12" s="264"/>
      <c r="L12" s="264"/>
      <c r="M12" s="264"/>
      <c r="N12" s="264"/>
      <c r="O12" s="264"/>
    </row>
    <row r="13" spans="1:16" ht="26.25" thickBot="1">
      <c r="A13" s="266" t="s">
        <v>232</v>
      </c>
      <c r="B13" s="267"/>
      <c r="C13" s="267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7"/>
      <c r="P13" s="262" t="e">
        <f>+AVERAGE(B13:O13)</f>
        <v>#DIV/0!</v>
      </c>
    </row>
    <row r="14" spans="1:16" ht="13.5" thickBot="1">
      <c r="A14" s="266" t="s">
        <v>233</v>
      </c>
      <c r="B14" s="267"/>
      <c r="C14" s="267"/>
      <c r="D14" s="267"/>
      <c r="E14" s="267"/>
      <c r="F14" s="267"/>
      <c r="G14" s="267"/>
      <c r="H14" s="267"/>
      <c r="I14" s="267"/>
      <c r="J14" s="267"/>
      <c r="K14" s="267"/>
      <c r="L14" s="267"/>
      <c r="M14" s="267"/>
      <c r="N14" s="267"/>
      <c r="O14" s="267"/>
      <c r="P14" s="262" t="e">
        <f>+AVERAGE(B14:O14)</f>
        <v>#DIV/0!</v>
      </c>
    </row>
    <row r="15" spans="1:16" ht="26.25" thickBot="1">
      <c r="A15" s="266" t="s">
        <v>234</v>
      </c>
      <c r="B15" s="267"/>
      <c r="C15" s="267"/>
      <c r="D15" s="267"/>
      <c r="E15" s="267"/>
      <c r="F15" s="267"/>
      <c r="G15" s="267"/>
      <c r="H15" s="267"/>
      <c r="I15" s="267"/>
      <c r="J15" s="267"/>
      <c r="K15" s="267"/>
      <c r="L15" s="267"/>
      <c r="M15" s="267"/>
      <c r="N15" s="267"/>
      <c r="O15" s="267"/>
      <c r="P15" s="262">
        <v>0</v>
      </c>
    </row>
    <row r="16" spans="1:16" ht="13.5" thickBot="1"/>
    <row r="17" spans="1:16" ht="26.25" thickBot="1">
      <c r="A17" s="266" t="s">
        <v>235</v>
      </c>
      <c r="B17" s="262" t="str">
        <f t="shared" ref="B17:O17" si="0">+IF(B13="","", B13-B14+B15)</f>
        <v/>
      </c>
      <c r="C17" s="262" t="str">
        <f t="shared" si="0"/>
        <v/>
      </c>
      <c r="D17" s="262" t="str">
        <f t="shared" si="0"/>
        <v/>
      </c>
      <c r="E17" s="262" t="str">
        <f t="shared" si="0"/>
        <v/>
      </c>
      <c r="F17" s="262" t="str">
        <f t="shared" si="0"/>
        <v/>
      </c>
      <c r="G17" s="262" t="str">
        <f t="shared" si="0"/>
        <v/>
      </c>
      <c r="H17" s="262" t="str">
        <f t="shared" si="0"/>
        <v/>
      </c>
      <c r="I17" s="262" t="str">
        <f t="shared" si="0"/>
        <v/>
      </c>
      <c r="J17" s="262" t="str">
        <f t="shared" si="0"/>
        <v/>
      </c>
      <c r="K17" s="262" t="str">
        <f t="shared" si="0"/>
        <v/>
      </c>
      <c r="L17" s="262" t="str">
        <f t="shared" si="0"/>
        <v/>
      </c>
      <c r="M17" s="262" t="str">
        <f t="shared" si="0"/>
        <v/>
      </c>
      <c r="N17" s="262" t="str">
        <f t="shared" si="0"/>
        <v/>
      </c>
      <c r="O17" s="262" t="str">
        <f t="shared" si="0"/>
        <v/>
      </c>
      <c r="P17" s="262" t="e">
        <f>+AVERAGE(B17:O17)</f>
        <v>#DIV/0!</v>
      </c>
    </row>
    <row r="18" spans="1:16" ht="26.25" thickBot="1">
      <c r="A18" s="266" t="s">
        <v>236</v>
      </c>
      <c r="B18" s="268" t="str">
        <f t="shared" ref="B18:O18" si="1">+IF(B13="", "", ((B17-B15)/$F10))</f>
        <v/>
      </c>
      <c r="C18" s="268" t="str">
        <f t="shared" si="1"/>
        <v/>
      </c>
      <c r="D18" s="268" t="str">
        <f t="shared" si="1"/>
        <v/>
      </c>
      <c r="E18" s="268" t="str">
        <f t="shared" si="1"/>
        <v/>
      </c>
      <c r="F18" s="268" t="str">
        <f t="shared" si="1"/>
        <v/>
      </c>
      <c r="G18" s="268" t="str">
        <f t="shared" si="1"/>
        <v/>
      </c>
      <c r="H18" s="268" t="str">
        <f t="shared" si="1"/>
        <v/>
      </c>
      <c r="I18" s="268" t="str">
        <f t="shared" si="1"/>
        <v/>
      </c>
      <c r="J18" s="268" t="str">
        <f t="shared" si="1"/>
        <v/>
      </c>
      <c r="K18" s="268" t="str">
        <f t="shared" si="1"/>
        <v/>
      </c>
      <c r="L18" s="268" t="str">
        <f t="shared" si="1"/>
        <v/>
      </c>
      <c r="M18" s="268" t="str">
        <f t="shared" si="1"/>
        <v/>
      </c>
      <c r="N18" s="268" t="str">
        <f t="shared" si="1"/>
        <v/>
      </c>
      <c r="O18" s="268" t="str">
        <f t="shared" si="1"/>
        <v/>
      </c>
      <c r="P18" s="268" t="e">
        <f>+SUM(B18:O18)/$F$7</f>
        <v>#DIV/0!</v>
      </c>
    </row>
    <row r="19" spans="1:16" ht="13.5" thickBot="1">
      <c r="A19" s="269" t="s">
        <v>237</v>
      </c>
      <c r="B19" s="268" t="str">
        <f t="shared" ref="B19:O19" si="2">+IF(B13="", "", (B17/$F10))</f>
        <v/>
      </c>
      <c r="C19" s="268" t="str">
        <f t="shared" si="2"/>
        <v/>
      </c>
      <c r="D19" s="268" t="str">
        <f t="shared" si="2"/>
        <v/>
      </c>
      <c r="E19" s="268" t="str">
        <f t="shared" si="2"/>
        <v/>
      </c>
      <c r="F19" s="268" t="str">
        <f t="shared" si="2"/>
        <v/>
      </c>
      <c r="G19" s="268" t="str">
        <f t="shared" si="2"/>
        <v/>
      </c>
      <c r="H19" s="268" t="str">
        <f t="shared" si="2"/>
        <v/>
      </c>
      <c r="I19" s="268" t="str">
        <f t="shared" si="2"/>
        <v/>
      </c>
      <c r="J19" s="268" t="str">
        <f t="shared" si="2"/>
        <v/>
      </c>
      <c r="K19" s="268" t="str">
        <f t="shared" si="2"/>
        <v/>
      </c>
      <c r="L19" s="268" t="str">
        <f t="shared" si="2"/>
        <v/>
      </c>
      <c r="M19" s="268" t="str">
        <f t="shared" si="2"/>
        <v/>
      </c>
      <c r="N19" s="268" t="str">
        <f t="shared" si="2"/>
        <v/>
      </c>
      <c r="O19" s="268" t="str">
        <f t="shared" si="2"/>
        <v/>
      </c>
      <c r="P19" s="268" t="e">
        <f>+SUM(B19:O19)/$F$7</f>
        <v>#DIV/0!</v>
      </c>
    </row>
    <row r="20" spans="1:16" ht="13.5" thickBot="1">
      <c r="A20" s="269" t="s">
        <v>238</v>
      </c>
      <c r="B20" s="270" t="str">
        <f t="shared" ref="B20:O20" si="3">+IF(B14="", "", (B14/$F10))</f>
        <v/>
      </c>
      <c r="C20" s="270" t="str">
        <f t="shared" si="3"/>
        <v/>
      </c>
      <c r="D20" s="270" t="str">
        <f t="shared" si="3"/>
        <v/>
      </c>
      <c r="E20" s="270" t="str">
        <f t="shared" si="3"/>
        <v/>
      </c>
      <c r="F20" s="270" t="str">
        <f t="shared" si="3"/>
        <v/>
      </c>
      <c r="G20" s="270" t="str">
        <f t="shared" si="3"/>
        <v/>
      </c>
      <c r="H20" s="270" t="str">
        <f t="shared" si="3"/>
        <v/>
      </c>
      <c r="I20" s="270" t="str">
        <f t="shared" si="3"/>
        <v/>
      </c>
      <c r="J20" s="270" t="str">
        <f t="shared" si="3"/>
        <v/>
      </c>
      <c r="K20" s="270" t="str">
        <f t="shared" si="3"/>
        <v/>
      </c>
      <c r="L20" s="270" t="str">
        <f t="shared" si="3"/>
        <v/>
      </c>
      <c r="M20" s="270" t="str">
        <f t="shared" si="3"/>
        <v/>
      </c>
      <c r="N20" s="270" t="str">
        <f t="shared" si="3"/>
        <v/>
      </c>
      <c r="O20" s="270" t="str">
        <f t="shared" si="3"/>
        <v/>
      </c>
      <c r="P20" s="270" t="e">
        <f>+P14/$F$10</f>
        <v>#DIV/0!</v>
      </c>
    </row>
    <row r="21" spans="1:16" ht="13.5" thickBot="1">
      <c r="A21" s="269" t="s">
        <v>239</v>
      </c>
      <c r="B21" s="268" t="str">
        <f t="shared" ref="B21:O21" si="4">+IF(B15="","",(B15/B13))</f>
        <v/>
      </c>
      <c r="C21" s="268" t="str">
        <f t="shared" si="4"/>
        <v/>
      </c>
      <c r="D21" s="268" t="str">
        <f t="shared" si="4"/>
        <v/>
      </c>
      <c r="E21" s="268" t="str">
        <f t="shared" si="4"/>
        <v/>
      </c>
      <c r="F21" s="268" t="str">
        <f t="shared" si="4"/>
        <v/>
      </c>
      <c r="G21" s="268" t="str">
        <f t="shared" si="4"/>
        <v/>
      </c>
      <c r="H21" s="268" t="str">
        <f t="shared" si="4"/>
        <v/>
      </c>
      <c r="I21" s="268" t="str">
        <f t="shared" si="4"/>
        <v/>
      </c>
      <c r="J21" s="268" t="str">
        <f t="shared" si="4"/>
        <v/>
      </c>
      <c r="K21" s="268" t="str">
        <f t="shared" si="4"/>
        <v/>
      </c>
      <c r="L21" s="268" t="str">
        <f t="shared" si="4"/>
        <v/>
      </c>
      <c r="M21" s="268" t="str">
        <f t="shared" si="4"/>
        <v/>
      </c>
      <c r="N21" s="268" t="str">
        <f t="shared" si="4"/>
        <v/>
      </c>
      <c r="O21" s="268" t="str">
        <f t="shared" si="4"/>
        <v/>
      </c>
      <c r="P21" s="271" t="e">
        <f>+P15/P13</f>
        <v>#DIV/0!</v>
      </c>
    </row>
    <row r="22" spans="1:16" ht="13.5" thickBot="1">
      <c r="A22" s="272"/>
    </row>
    <row r="23" spans="1:16" ht="39" thickBot="1">
      <c r="A23" s="265" t="s">
        <v>240</v>
      </c>
      <c r="B23" s="273"/>
      <c r="C23" s="273"/>
      <c r="D23" s="273"/>
      <c r="E23" s="273"/>
      <c r="F23" s="273"/>
      <c r="G23" s="273"/>
      <c r="H23" s="273"/>
      <c r="I23" s="273"/>
      <c r="J23" s="273"/>
      <c r="K23" s="273"/>
      <c r="L23" s="273"/>
      <c r="M23" s="273"/>
      <c r="N23" s="273"/>
      <c r="O23" s="273">
        <v>3269</v>
      </c>
      <c r="P23" s="274">
        <f>+SUM(B23:O23)</f>
        <v>3269</v>
      </c>
    </row>
    <row r="24" spans="1:16" ht="26.25" thickBot="1">
      <c r="A24" s="265" t="s">
        <v>241</v>
      </c>
      <c r="B24" s="273"/>
      <c r="C24" s="273"/>
      <c r="D24" s="273"/>
      <c r="E24" s="273"/>
      <c r="F24" s="273"/>
      <c r="G24" s="273"/>
      <c r="H24" s="273"/>
      <c r="I24" s="273"/>
      <c r="J24" s="273"/>
      <c r="K24" s="273"/>
      <c r="L24" s="273"/>
      <c r="M24" s="273"/>
      <c r="N24" s="273"/>
      <c r="O24" s="273">
        <v>17</v>
      </c>
      <c r="P24" s="274">
        <f>+SUM(B24:O24)</f>
        <v>17</v>
      </c>
    </row>
    <row r="25" spans="1:16" ht="13.5" thickBot="1">
      <c r="A25" s="275" t="s">
        <v>242</v>
      </c>
      <c r="B25" s="271" t="str">
        <f t="shared" ref="B25:P25" si="5">+IF(B24="", "", B24/B23)</f>
        <v/>
      </c>
      <c r="C25" s="271" t="str">
        <f t="shared" si="5"/>
        <v/>
      </c>
      <c r="D25" s="271" t="str">
        <f t="shared" si="5"/>
        <v/>
      </c>
      <c r="E25" s="271" t="str">
        <f t="shared" si="5"/>
        <v/>
      </c>
      <c r="F25" s="271" t="str">
        <f t="shared" si="5"/>
        <v/>
      </c>
      <c r="G25" s="271" t="str">
        <f t="shared" si="5"/>
        <v/>
      </c>
      <c r="H25" s="271" t="str">
        <f t="shared" si="5"/>
        <v/>
      </c>
      <c r="I25" s="271" t="str">
        <f t="shared" si="5"/>
        <v/>
      </c>
      <c r="J25" s="271" t="str">
        <f t="shared" si="5"/>
        <v/>
      </c>
      <c r="K25" s="271" t="str">
        <f t="shared" si="5"/>
        <v/>
      </c>
      <c r="L25" s="271" t="str">
        <f t="shared" si="5"/>
        <v/>
      </c>
      <c r="M25" s="271" t="str">
        <f t="shared" si="5"/>
        <v/>
      </c>
      <c r="N25" s="271" t="str">
        <f t="shared" si="5"/>
        <v/>
      </c>
      <c r="O25" s="271">
        <f t="shared" si="5"/>
        <v>5.2003670847353932E-3</v>
      </c>
      <c r="P25" s="271">
        <f t="shared" si="5"/>
        <v>5.2003670847353932E-3</v>
      </c>
    </row>
    <row r="26" spans="1:16" ht="13.5" thickBot="1">
      <c r="A26" s="276"/>
    </row>
    <row r="27" spans="1:16" ht="26.25" thickBot="1">
      <c r="A27" s="277" t="s">
        <v>243</v>
      </c>
      <c r="B27" s="278" t="str">
        <f t="shared" ref="B27:J27" si="6">+IF(B13="","",(B23-B24)/(B13+B15))</f>
        <v/>
      </c>
      <c r="C27" s="278" t="str">
        <f t="shared" si="6"/>
        <v/>
      </c>
      <c r="D27" s="278" t="str">
        <f t="shared" si="6"/>
        <v/>
      </c>
      <c r="E27" s="278" t="str">
        <f t="shared" si="6"/>
        <v/>
      </c>
      <c r="F27" s="278" t="str">
        <f t="shared" si="6"/>
        <v/>
      </c>
      <c r="G27" s="278" t="str">
        <f t="shared" si="6"/>
        <v/>
      </c>
      <c r="H27" s="278" t="str">
        <f t="shared" si="6"/>
        <v/>
      </c>
      <c r="I27" s="278" t="str">
        <f t="shared" si="6"/>
        <v/>
      </c>
      <c r="J27" s="278" t="str">
        <f t="shared" si="6"/>
        <v/>
      </c>
      <c r="K27" s="278"/>
      <c r="L27" s="278"/>
      <c r="M27" s="278"/>
      <c r="N27" s="278"/>
      <c r="O27" s="278" t="str">
        <f>+IF(O13="","",(O23-O24)/(O13+O15))</f>
        <v/>
      </c>
      <c r="P27" s="278" t="e">
        <f>+AVERAGE(B27:O27)</f>
        <v>#DIV/0!</v>
      </c>
    </row>
    <row r="28" spans="1:16" ht="26.25" thickBot="1">
      <c r="A28" s="277" t="s">
        <v>244</v>
      </c>
      <c r="B28" s="279" t="str">
        <f t="shared" ref="B28:O28" si="7">+IF(B13="","",(B23-B24/((B13+B15)*60)))</f>
        <v/>
      </c>
      <c r="C28" s="279" t="str">
        <f t="shared" si="7"/>
        <v/>
      </c>
      <c r="D28" s="279" t="str">
        <f t="shared" si="7"/>
        <v/>
      </c>
      <c r="E28" s="279" t="str">
        <f t="shared" si="7"/>
        <v/>
      </c>
      <c r="F28" s="279" t="str">
        <f t="shared" si="7"/>
        <v/>
      </c>
      <c r="G28" s="279" t="str">
        <f t="shared" si="7"/>
        <v/>
      </c>
      <c r="H28" s="279" t="str">
        <f t="shared" si="7"/>
        <v/>
      </c>
      <c r="I28" s="279" t="str">
        <f t="shared" si="7"/>
        <v/>
      </c>
      <c r="J28" s="279" t="str">
        <f t="shared" si="7"/>
        <v/>
      </c>
      <c r="K28" s="279" t="str">
        <f t="shared" si="7"/>
        <v/>
      </c>
      <c r="L28" s="279" t="str">
        <f t="shared" si="7"/>
        <v/>
      </c>
      <c r="M28" s="279" t="str">
        <f t="shared" si="7"/>
        <v/>
      </c>
      <c r="N28" s="279" t="str">
        <f t="shared" si="7"/>
        <v/>
      </c>
      <c r="O28" s="279" t="str">
        <f t="shared" si="7"/>
        <v/>
      </c>
      <c r="P28" s="278" t="e">
        <f>+AVERAGE(B28:O28)</f>
        <v>#DIV/0!</v>
      </c>
    </row>
    <row r="29" spans="1:16" ht="13.5" thickBot="1">
      <c r="A29" s="280" t="s">
        <v>245</v>
      </c>
      <c r="B29" s="279" t="str">
        <f t="shared" ref="B29:J29" si="8">+IF(B27="","", 60/B27)</f>
        <v/>
      </c>
      <c r="C29" s="279" t="str">
        <f t="shared" si="8"/>
        <v/>
      </c>
      <c r="D29" s="279" t="str">
        <f t="shared" si="8"/>
        <v/>
      </c>
      <c r="E29" s="279" t="str">
        <f t="shared" si="8"/>
        <v/>
      </c>
      <c r="F29" s="279" t="str">
        <f t="shared" si="8"/>
        <v/>
      </c>
      <c r="G29" s="279" t="str">
        <f t="shared" si="8"/>
        <v/>
      </c>
      <c r="H29" s="279" t="str">
        <f t="shared" si="8"/>
        <v/>
      </c>
      <c r="I29" s="279" t="str">
        <f t="shared" si="8"/>
        <v/>
      </c>
      <c r="J29" s="279" t="str">
        <f t="shared" si="8"/>
        <v/>
      </c>
      <c r="K29" s="279"/>
      <c r="L29" s="279"/>
      <c r="M29" s="279"/>
      <c r="N29" s="279"/>
      <c r="O29" s="279" t="str">
        <f>+IF(O27="","", 60/O27)</f>
        <v/>
      </c>
      <c r="P29" s="278" t="e">
        <f>+AVERAGE(B29:O29)</f>
        <v>#DIV/0!</v>
      </c>
    </row>
    <row r="30" spans="1:16" ht="13.5" thickBot="1">
      <c r="A30" s="280" t="s">
        <v>246</v>
      </c>
      <c r="B30" s="279" t="str">
        <f t="shared" ref="B30:J30" si="9">+IF(B29="","",B29/60)</f>
        <v/>
      </c>
      <c r="C30" s="279" t="str">
        <f t="shared" si="9"/>
        <v/>
      </c>
      <c r="D30" s="279" t="str">
        <f t="shared" si="9"/>
        <v/>
      </c>
      <c r="E30" s="279" t="str">
        <f t="shared" si="9"/>
        <v/>
      </c>
      <c r="F30" s="279" t="str">
        <f t="shared" si="9"/>
        <v/>
      </c>
      <c r="G30" s="279" t="str">
        <f t="shared" si="9"/>
        <v/>
      </c>
      <c r="H30" s="279" t="str">
        <f t="shared" si="9"/>
        <v/>
      </c>
      <c r="I30" s="279" t="str">
        <f t="shared" si="9"/>
        <v/>
      </c>
      <c r="J30" s="279" t="str">
        <f t="shared" si="9"/>
        <v/>
      </c>
      <c r="K30" s="279"/>
      <c r="L30" s="279"/>
      <c r="M30" s="279"/>
      <c r="N30" s="279"/>
      <c r="O30" s="279" t="str">
        <f>+IF(O29="","",O29/60)</f>
        <v/>
      </c>
      <c r="P30" s="278" t="e">
        <f>+AVERAGE(B30:O30)</f>
        <v>#DIV/0!</v>
      </c>
    </row>
    <row r="31" spans="1:16" ht="26.25" thickBot="1">
      <c r="A31" s="280" t="s">
        <v>247</v>
      </c>
      <c r="B31" s="281" t="str">
        <f t="shared" ref="B31:J31" si="10">+IF(B23="","",($P30*(B23-B24)))</f>
        <v/>
      </c>
      <c r="C31" s="281" t="str">
        <f t="shared" si="10"/>
        <v/>
      </c>
      <c r="D31" s="281" t="str">
        <f t="shared" si="10"/>
        <v/>
      </c>
      <c r="E31" s="281" t="str">
        <f t="shared" si="10"/>
        <v/>
      </c>
      <c r="F31" s="281" t="str">
        <f t="shared" si="10"/>
        <v/>
      </c>
      <c r="G31" s="281" t="str">
        <f t="shared" si="10"/>
        <v/>
      </c>
      <c r="H31" s="281" t="str">
        <f t="shared" si="10"/>
        <v/>
      </c>
      <c r="I31" s="281" t="str">
        <f t="shared" si="10"/>
        <v/>
      </c>
      <c r="J31" s="281" t="str">
        <f t="shared" si="10"/>
        <v/>
      </c>
      <c r="K31" s="281"/>
      <c r="L31" s="281"/>
      <c r="M31" s="281"/>
      <c r="N31" s="281"/>
      <c r="O31" s="281" t="e">
        <f>+IF(O23="","",($P30*(O23-O24)))</f>
        <v>#DIV/0!</v>
      </c>
      <c r="P31" s="278" t="e">
        <f>+AVERAGE(B31:O31)</f>
        <v>#DIV/0!</v>
      </c>
    </row>
    <row r="32" spans="1:16" ht="13.5" thickBot="1">
      <c r="A32" s="280" t="s">
        <v>248</v>
      </c>
      <c r="B32" s="270" t="str">
        <f t="shared" ref="B32:J32" si="11">+IF(B31="","",B31/(B13+B15))</f>
        <v/>
      </c>
      <c r="C32" s="270" t="str">
        <f t="shared" si="11"/>
        <v/>
      </c>
      <c r="D32" s="270" t="str">
        <f t="shared" si="11"/>
        <v/>
      </c>
      <c r="E32" s="270" t="str">
        <f t="shared" si="11"/>
        <v/>
      </c>
      <c r="F32" s="270" t="str">
        <f t="shared" si="11"/>
        <v/>
      </c>
      <c r="G32" s="270" t="str">
        <f t="shared" si="11"/>
        <v/>
      </c>
      <c r="H32" s="270" t="str">
        <f t="shared" si="11"/>
        <v/>
      </c>
      <c r="I32" s="270" t="str">
        <f t="shared" si="11"/>
        <v/>
      </c>
      <c r="J32" s="270" t="str">
        <f t="shared" si="11"/>
        <v/>
      </c>
      <c r="K32" s="270"/>
      <c r="L32" s="270"/>
      <c r="M32" s="270"/>
      <c r="N32" s="270"/>
      <c r="O32" s="270" t="e">
        <f>+IF(O31="","",O31/(O13+O15))</f>
        <v>#DIV/0!</v>
      </c>
      <c r="P32" s="270" t="e">
        <f>+P31/P13</f>
        <v>#DIV/0!</v>
      </c>
    </row>
    <row r="33" spans="1:16" ht="13.5" thickBot="1">
      <c r="A33" s="280"/>
      <c r="B33" s="282"/>
      <c r="C33" s="282"/>
      <c r="D33" s="282"/>
      <c r="E33" s="282"/>
      <c r="F33" s="282"/>
      <c r="G33" s="282"/>
      <c r="H33" s="282"/>
      <c r="I33" s="282"/>
      <c r="J33" s="282"/>
      <c r="K33" s="282"/>
      <c r="L33" s="282"/>
      <c r="M33" s="282"/>
      <c r="N33" s="282"/>
      <c r="O33" s="282"/>
      <c r="P33" s="282"/>
    </row>
    <row r="34" spans="1:16" ht="39" thickBot="1">
      <c r="A34" s="593" t="s">
        <v>249</v>
      </c>
      <c r="B34" s="283" t="e">
        <f>+(F9/F7)/P30</f>
        <v>#DIV/0!</v>
      </c>
      <c r="E34" s="282"/>
      <c r="F34" s="282"/>
      <c r="G34" s="282"/>
      <c r="H34" s="282"/>
      <c r="I34" s="282"/>
      <c r="J34" s="282"/>
      <c r="K34" s="282"/>
      <c r="L34" s="282"/>
      <c r="M34" s="282"/>
      <c r="N34" s="282"/>
      <c r="O34" s="282"/>
      <c r="P34" s="282"/>
    </row>
    <row r="35" spans="1:16" ht="39" thickBot="1">
      <c r="A35" s="594" t="s">
        <v>250</v>
      </c>
      <c r="B35" s="283" t="e">
        <f>+(P23-P24)/$F$7</f>
        <v>#DIV/0!</v>
      </c>
      <c r="E35" s="595"/>
      <c r="F35" s="282"/>
      <c r="G35" s="282"/>
      <c r="H35" s="282"/>
      <c r="I35" s="282"/>
      <c r="J35" s="282"/>
      <c r="K35" s="282"/>
      <c r="L35" s="282"/>
      <c r="M35" s="282"/>
      <c r="N35" s="282"/>
      <c r="O35" s="282"/>
      <c r="P35" s="282"/>
    </row>
    <row r="36" spans="1:16" ht="26.25" thickBot="1">
      <c r="A36" s="596" t="s">
        <v>251</v>
      </c>
      <c r="B36" s="284" t="e">
        <f>+((P17)*P32*P19)/P30</f>
        <v>#DIV/0!</v>
      </c>
      <c r="E36" s="597"/>
    </row>
    <row r="37" spans="1:16" ht="39.6" customHeight="1" thickBot="1">
      <c r="A37" s="260" t="s">
        <v>252</v>
      </c>
      <c r="B37" s="285">
        <f>+F8</f>
        <v>0</v>
      </c>
      <c r="C37" s="598"/>
      <c r="D37" s="599"/>
    </row>
    <row r="38" spans="1:16" ht="13.15" customHeight="1" thickBot="1">
      <c r="A38" s="600" t="s">
        <v>253</v>
      </c>
      <c r="B38" s="286" t="e">
        <f>+IF(C38&lt;0.85,"GOOD", IF(C38&gt;0.9, "NO", "Potential Problem"))</f>
        <v>#DIV/0!</v>
      </c>
      <c r="C38" s="287" t="e">
        <f>+(B37/B36)</f>
        <v>#DIV/0!</v>
      </c>
      <c r="D38" s="8" t="s">
        <v>254</v>
      </c>
    </row>
    <row r="39" spans="1:16" ht="26.45" customHeight="1">
      <c r="A39" s="280"/>
      <c r="B39" s="288"/>
    </row>
    <row r="40" spans="1:16" ht="13.15" customHeight="1">
      <c r="A40" s="601" t="s">
        <v>597</v>
      </c>
    </row>
    <row r="41" spans="1:16" ht="13.5" thickBot="1">
      <c r="A41" s="602"/>
    </row>
    <row r="42" spans="1:16" ht="13.15" customHeight="1" thickBot="1">
      <c r="A42" s="603" t="s">
        <v>255</v>
      </c>
      <c r="B42" s="604"/>
    </row>
    <row r="43" spans="1:16" ht="13.5" thickBot="1">
      <c r="A43" s="589" t="s">
        <v>256</v>
      </c>
      <c r="B43" s="605"/>
    </row>
    <row r="44" spans="1:16" ht="13.5" thickBot="1">
      <c r="A44" s="589" t="s">
        <v>257</v>
      </c>
      <c r="B44" s="606">
        <f>+B37+B43</f>
        <v>0</v>
      </c>
    </row>
    <row r="45" spans="1:16" ht="26.25" thickBot="1">
      <c r="A45" s="589" t="s">
        <v>258</v>
      </c>
      <c r="B45" s="283">
        <f>+B44/(1-P25)</f>
        <v>0</v>
      </c>
    </row>
    <row r="46" spans="1:16" ht="26.25" thickBot="1">
      <c r="A46" s="603" t="s">
        <v>259</v>
      </c>
      <c r="B46" s="604"/>
    </row>
    <row r="47" spans="1:16" ht="64.5" thickBot="1">
      <c r="A47" s="589" t="s">
        <v>260</v>
      </c>
      <c r="B47" s="289">
        <v>0</v>
      </c>
    </row>
    <row r="48" spans="1:16" ht="26.25" thickBot="1">
      <c r="A48" s="607" t="s">
        <v>261</v>
      </c>
      <c r="B48" s="289">
        <v>0</v>
      </c>
    </row>
    <row r="49" spans="1:4" ht="26.25" thickBot="1">
      <c r="A49" s="607" t="s">
        <v>262</v>
      </c>
      <c r="B49" s="289">
        <v>0</v>
      </c>
    </row>
    <row r="50" spans="1:4" ht="26.25" thickBot="1">
      <c r="A50" s="607" t="s">
        <v>263</v>
      </c>
      <c r="C50" s="289">
        <v>0</v>
      </c>
    </row>
    <row r="51" spans="1:4" ht="26.25" thickBot="1">
      <c r="A51" s="589" t="s">
        <v>264</v>
      </c>
      <c r="B51" s="290">
        <f>+((F4+B47)*(F5+B48)*(F6+B49)*F7)+C50</f>
        <v>0</v>
      </c>
    </row>
    <row r="52" spans="1:4" ht="26.25" thickBot="1">
      <c r="A52" s="607" t="s">
        <v>265</v>
      </c>
      <c r="B52" s="291" t="e">
        <f>+((B51/F7)*P32*P19)/P30</f>
        <v>#DIV/0!</v>
      </c>
      <c r="C52" s="588" t="s">
        <v>266</v>
      </c>
      <c r="D52" s="292" t="e">
        <f>+B52*P30</f>
        <v>#DIV/0!</v>
      </c>
    </row>
    <row r="53" spans="1:4" ht="13.5" thickBot="1">
      <c r="A53" s="608" t="s">
        <v>253</v>
      </c>
      <c r="B53" s="293" t="e">
        <f>+IF(B44&lt;B52,"OK","NO")</f>
        <v>#DIV/0!</v>
      </c>
    </row>
    <row r="54" spans="1:4" ht="26.25" thickBot="1">
      <c r="A54" s="609" t="s">
        <v>267</v>
      </c>
      <c r="B54" s="294" t="e">
        <f>+B45/B52</f>
        <v>#DIV/0!</v>
      </c>
    </row>
  </sheetData>
  <mergeCells count="4">
    <mergeCell ref="A3:D3"/>
    <mergeCell ref="G5:O5"/>
    <mergeCell ref="H7:O7"/>
    <mergeCell ref="H9:O9"/>
  </mergeCells>
  <phoneticPr fontId="10" type="noConversion"/>
  <conditionalFormatting sqref="B38">
    <cfRule type="cellIs" dxfId="5" priority="1" stopIfTrue="1" operator="equal">
      <formula>"GOOD"</formula>
    </cfRule>
    <cfRule type="cellIs" dxfId="4" priority="2" stopIfTrue="1" operator="equal">
      <formula>"Potential Problem"</formula>
    </cfRule>
    <cfRule type="cellIs" dxfId="3" priority="3" stopIfTrue="1" operator="equal">
      <formula>"NO"</formula>
    </cfRule>
  </conditionalFormatting>
  <conditionalFormatting sqref="C38">
    <cfRule type="cellIs" dxfId="2" priority="4" stopIfTrue="1" operator="lessThan">
      <formula>0.85</formula>
    </cfRule>
    <cfRule type="cellIs" dxfId="1" priority="5" stopIfTrue="1" operator="greaterThan">
      <formula>0.95</formula>
    </cfRule>
    <cfRule type="cellIs" dxfId="0" priority="6" stopIfTrue="1" operator="between">
      <formula>0.86</formula>
      <formula>0.94</formula>
    </cfRule>
  </conditionalFormatting>
  <pageMargins left="0" right="0" top="0" bottom="0" header="0" footer="0"/>
  <pageSetup scale="76" fitToHeight="0" orientation="landscape" verticalDpi="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13</vt:i4>
      </vt:variant>
    </vt:vector>
  </HeadingPairs>
  <TitlesOfParts>
    <vt:vector size="30" baseType="lpstr">
      <vt:lpstr>Cover</vt:lpstr>
      <vt:lpstr>PPAP Requirements</vt:lpstr>
      <vt:lpstr>Flow</vt:lpstr>
      <vt:lpstr>FMEA</vt:lpstr>
      <vt:lpstr>Control Plan</vt:lpstr>
      <vt:lpstr>GR&amp;R Att (Analytic)</vt:lpstr>
      <vt:lpstr>Graph</vt:lpstr>
      <vt:lpstr>Gr&amp;R Att (Risk)</vt:lpstr>
      <vt:lpstr>GR&amp;R Variable Inst</vt:lpstr>
      <vt:lpstr>Sample GR&amp;R Var.</vt:lpstr>
      <vt:lpstr>GR&amp;R Var.</vt:lpstr>
      <vt:lpstr>Capability</vt:lpstr>
      <vt:lpstr>THE-1001 PSW</vt:lpstr>
      <vt:lpstr>Dimensional CFG1003</vt:lpstr>
      <vt:lpstr>Material CFG1004</vt:lpstr>
      <vt:lpstr>Performance Test CFG1005</vt:lpstr>
      <vt:lpstr>Capacity Analysis and R@R</vt:lpstr>
      <vt:lpstr>Capability!Print_Area</vt:lpstr>
      <vt:lpstr>Cover!Print_Area</vt:lpstr>
      <vt:lpstr>'Dimensional CFG1003'!Print_Area</vt:lpstr>
      <vt:lpstr>Flow!Print_Area</vt:lpstr>
      <vt:lpstr>'GR&amp;R Att (Analytic)'!Print_Area</vt:lpstr>
      <vt:lpstr>'GR&amp;R Variable Inst'!Print_Area</vt:lpstr>
      <vt:lpstr>'PPAP Requirements'!Print_Area</vt:lpstr>
      <vt:lpstr>'Control Plan'!Print_Titles</vt:lpstr>
      <vt:lpstr>'Dimensional CFG1003'!Print_Titles</vt:lpstr>
      <vt:lpstr>Flow!Print_Titles</vt:lpstr>
      <vt:lpstr>FMEA!Print_Titles</vt:lpstr>
      <vt:lpstr>'Material CFG1004'!Print_Titles</vt:lpstr>
      <vt:lpstr>'Performance Test CFG1005'!Print_Titles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Jarold March</dc:creator>
  <cp:lastModifiedBy>John Batten</cp:lastModifiedBy>
  <cp:lastPrinted>2006-08-16T16:16:12Z</cp:lastPrinted>
  <dcterms:created xsi:type="dcterms:W3CDTF">1999-08-04T22:09:04Z</dcterms:created>
  <dcterms:modified xsi:type="dcterms:W3CDTF">2026-09-07T11:49:55Z</dcterms:modified>
</cp:coreProperties>
</file>