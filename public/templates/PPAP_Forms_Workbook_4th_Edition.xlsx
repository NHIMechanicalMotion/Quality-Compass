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48.xml" ContentType="application/vnd.openxmlformats-officedocument.spreadsheetml.worksheet+xml"/>
  <Override PartName="/xl/worksheets/sheet63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2.xml" ContentType="application/vnd.openxmlformats-officedocument.spreadsheetml.worksheet+xml"/>
  <Override PartName="/xl/worksheets/sheet5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7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77040" windowHeight="21120" activeTab="16"/>
  </bookViews>
  <sheets>
    <sheet sheetId="1" name="Cover" state="visible" r:id="rId4"/>
    <sheet sheetId="67" name="PPAP Requirements" state="visible" r:id="rId5"/>
    <sheet sheetId="66" name="Flow" state="visible" r:id="rId6"/>
    <sheet sheetId="48" name="FMEA" state="visible" r:id="rId7"/>
    <sheet sheetId="63" name="Control Plan" state="visible" r:id="rId8"/>
    <sheet sheetId="69" name="GR&amp;R Att (Analytic)" state="hidden" r:id="rId9"/>
    <sheet sheetId="70" name="Graph" state="hidden" r:id="rId10"/>
    <sheet sheetId="71" name="Gr&amp;R Att (Risk)" state="visible" r:id="rId11"/>
    <sheet sheetId="73" name="GR&amp;R Variable Inst" state="visible" r:id="rId12"/>
    <sheet sheetId="74" name="Sample GR&amp;R Var." state="visible" r:id="rId13"/>
    <sheet sheetId="72" name="GR&amp;R Var." state="visible" r:id="rId14"/>
    <sheet sheetId="59" name="Capability" state="visible" r:id="rId15"/>
    <sheet sheetId="79" name="THE-1001 PSW" state="visible" r:id="rId16"/>
    <sheet sheetId="75" name="Dimensional CFG1003" state="visible" r:id="rId17"/>
    <sheet sheetId="76" name="Material CFG1004" state="visible" r:id="rId18"/>
    <sheet sheetId="77" name="Performance Test CFG1005" state="visible" r:id="rId19"/>
    <sheet sheetId="78" name="Capacity Analysis and R@R" state="visible" r:id="rId20"/>
  </sheets>
  <definedNames>
    <definedName name="_xlnm.Print_Area" localSheetId="0">'Cover'!$A1:$C31</definedName>
    <definedName name="_xlnm.Print_Area" localSheetId="1">'PPAP Requirements'!$A1:$I38</definedName>
    <definedName name="_xlnm.Print_Area" localSheetId="2">'Flow'!$A1:$M27</definedName>
    <definedName name="_xlnm.Print_Titles" localSheetId="2">'Flow'!$6:$7</definedName>
    <definedName name="_xlnm.Print_Titles" localSheetId="3">'FMEA'!$9:$10</definedName>
    <definedName name="_xlnm.Print_Titles" localSheetId="4">'Control Plan'!$6:$9</definedName>
    <definedName name="_xlnm.Print_Area" localSheetId="5">'GR&amp;R Att (Analytic)'!$A1:$K51</definedName>
    <definedName name="_xlnm.Print_Area" localSheetId="8">'GR&amp;R Variable Inst'!$A1:$M40</definedName>
    <definedName name="_xlnm.Print_Area" localSheetId="11">'Capability'!$A1:$I54</definedName>
    <definedName name="_xlnm.Print_Area" localSheetId="13">'Dimensional CFG1003'!$A1:$K53</definedName>
    <definedName name="_xlnm.Print_Titles" localSheetId="13">'Dimensional CFG1003'!$8:$8</definedName>
    <definedName name="_xlnm.Print_Titles" localSheetId="14">'Material CFG1004'!$9:$9</definedName>
    <definedName name="_xlnm.Print_Titles" localSheetId="15">'Performance Test CFG1005'!$9:$9</definedName>
  </definedNames>
  <calcPr calcId="171027"/>
</workbook>
</file>

<file path=xl/comments78.xml><?xml version="1.0" encoding="utf-8"?>
<comments xmlns="http://schemas.openxmlformats.org/spreadsheetml/2006/main">
  <authors>
    <author>Author</author>
  </authors>
  <commentList>
    <comment ref="F4" authorId="0">
      <text>
        <r>
          <rPr>
            <charset val="1"/>
            <color indexed="81"/>
            <sz val="8"/>
            <rFont val="Tahoma"/>
          </rPr>
          <t xml:space="preserve">Instruction:
Explain the constraint and the process.
</t>
        </r>
      </text>
    </comment>
    <comment ref="F7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Need to input minimum of 10 days of data</t>
        </r>
      </text>
    </comment>
    <comment ref="F8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An average of production requirements over the sample period</t>
        </r>
      </text>
    </comment>
    <comment ref="A13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Taken from actual production records - not estimates. Hours worked at standard time or hours machine actually ran- not premium time (overtime)</t>
        </r>
      </text>
    </comment>
    <comment ref="A14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Actual not estimated. Downtime includes setup, maintenance, no operator available, part shortages, etc. (Total number of hours down)</t>
        </r>
      </text>
    </comment>
    <comment ref="A15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Number of hours worked above standard time</t>
        </r>
      </text>
    </comment>
    <comment ref="A17" authorId="0">
      <text>
        <r>
          <rPr>
            <b/>
            <color indexed="81"/>
            <sz val="8"/>
            <rFont val="Tahoma"/>
          </rPr>
          <t>Comments:</t>
        </r>
        <r>
          <rPr>
            <color indexed="81"/>
            <sz val="8"/>
            <rFont val="Tahoma"/>
          </rPr>
          <t xml:space="preserve">
Includes Hrs worked - downtime + overtime
</t>
        </r>
      </text>
    </comment>
    <comment ref="A24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Production non conforming product - not setup scrap</t>
        </r>
      </text>
    </comment>
    <comment ref="B34" authorId="0">
      <text>
        <r>
          <rPr>
            <b/>
            <color indexed="81"/>
            <sz val="8"/>
            <rFont val="Tahoma"/>
          </rPr>
          <t>Comments:</t>
        </r>
        <r>
          <rPr>
            <color indexed="81"/>
            <sz val="8"/>
            <rFont val="Tahoma"/>
          </rPr>
          <t xml:space="preserve">
Based on clock hours or machine hours. Hours available / standard hours
</t>
        </r>
      </text>
    </comment>
    <comment ref="B35" authorId="0">
      <text>
        <r>
          <rPr>
            <b/>
            <color indexed="81"/>
            <sz val="8"/>
            <rFont val="Tahoma"/>
          </rPr>
          <t>Comments:</t>
        </r>
        <r>
          <rPr>
            <color indexed="81"/>
            <sz val="8"/>
            <rFont val="Tahoma"/>
          </rPr>
          <t xml:space="preserve">
Average production per day</t>
        </r>
      </text>
    </comment>
    <comment ref="B36" authorId="0">
      <text>
        <r>
          <rPr>
            <b/>
            <color indexed="81"/>
            <sz val="8"/>
            <rFont val="Tahoma"/>
          </rPr>
          <t>Comments:</t>
        </r>
        <r>
          <rPr>
            <color indexed="81"/>
            <sz val="8"/>
            <rFont val="Tahoma"/>
          </rPr>
          <t xml:space="preserve">
(Hours available x utilization x efficiency) / standard hours
</t>
        </r>
      </text>
    </comment>
    <comment ref="B43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All new business scheduled into this machine/line</t>
        </r>
      </text>
    </comment>
    <comment ref="B47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Extra machines/people will calculate over the entire sample time period - not a one time only event - long term solution</t>
        </r>
      </text>
    </comment>
    <comment ref="B48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Extra shifts will calculate over the entire sample time period - not a one time only event - long term solution</t>
        </r>
      </text>
    </comment>
    <comment ref="B49" authorId="0">
      <text>
        <r>
          <rPr>
            <b/>
            <color indexed="81"/>
            <sz val="8"/>
            <rFont val="Tahoma"/>
          </rPr>
          <t xml:space="preserve">Instructions:
</t>
        </r>
        <r>
          <rPr>
            <color indexed="81"/>
            <family val="2"/>
            <sz val="8"/>
            <rFont val="Tahoma"/>
          </rPr>
          <t xml:space="preserve">Extra hours will calculate over the entire sample time period - not a one time only event - long term solution
</t>
        </r>
      </text>
    </comment>
    <comment ref="C50" authorId="0">
      <text>
        <r>
          <rPr>
            <b/>
            <color indexed="81"/>
            <sz val="8"/>
            <rFont val="Tahoma"/>
          </rPr>
          <t>Instructions:</t>
        </r>
        <r>
          <rPr>
            <color indexed="81"/>
            <sz val="8"/>
            <rFont val="Tahoma"/>
          </rPr>
          <t xml:space="preserve">
A one time only overtime block - short term capacity solution</t>
        </r>
      </text>
    </comment>
  </commentList>
</comments>
</file>

<file path=xl/sharedStrings.xml><?xml version="1.0" encoding="utf-8"?>
<sst xmlns="http://schemas.openxmlformats.org/spreadsheetml/2006/main" count="1042" uniqueCount="597">
  <si>
    <t>Revision:</t>
  </si>
  <si>
    <t xml:space="preserve"> </t>
  </si>
  <si>
    <t xml:space="preserve">SUPPLIER </t>
  </si>
  <si>
    <t>DEVELOPMENT</t>
  </si>
  <si>
    <t xml:space="preserve">       PPAP WORK BOOK</t>
  </si>
  <si>
    <t xml:space="preserve">Supplier Name:  </t>
  </si>
  <si>
    <t xml:space="preserve">Address:  </t>
  </si>
  <si>
    <t xml:space="preserve">State:  </t>
  </si>
  <si>
    <t xml:space="preserve">Zip:  </t>
  </si>
  <si>
    <t xml:space="preserve">State or Country:  </t>
  </si>
  <si>
    <t xml:space="preserve">Submitted by:  </t>
  </si>
  <si>
    <t xml:space="preserve">E-mail:  </t>
  </si>
  <si>
    <t xml:space="preserve">Individual Phone Number:  </t>
  </si>
  <si>
    <t xml:space="preserve">Part Name:  </t>
  </si>
  <si>
    <t xml:space="preserve">Part Number - Rev.:  </t>
  </si>
  <si>
    <t>PPAP Requirement Check List</t>
  </si>
  <si>
    <t>Supplier Name:</t>
  </si>
  <si>
    <t>Supplier Code:</t>
  </si>
  <si>
    <t>Mfg. Location:</t>
  </si>
  <si>
    <t>Change Description</t>
  </si>
  <si>
    <t>ANY ITEMS NOT REQUIRED, PLEASE EXPLAIN:</t>
  </si>
  <si>
    <t>Req'd</t>
  </si>
  <si>
    <t>Initials</t>
  </si>
  <si>
    <t>Date</t>
  </si>
  <si>
    <t>Comments</t>
  </si>
  <si>
    <t>1.</t>
  </si>
  <si>
    <t>Design Record</t>
  </si>
  <si>
    <t>X</t>
  </si>
  <si>
    <t>Required.  The Drawing or Specification provided to you to manufacure the part, ballooned.</t>
  </si>
  <si>
    <t>2.</t>
  </si>
  <si>
    <t>Authorized Engineering Change documents</t>
  </si>
  <si>
    <t>Only if there are any changes to the Drawing or Specifcation provided to you by us.</t>
  </si>
  <si>
    <t>3.</t>
  </si>
  <si>
    <t>Customer Engineering Approval</t>
  </si>
  <si>
    <t>Only if you offer any changes to the Drawing or Specification.</t>
  </si>
  <si>
    <t>4.</t>
  </si>
  <si>
    <t>Design FMEA</t>
  </si>
  <si>
    <t>Only if design responsible.</t>
  </si>
  <si>
    <t>5.</t>
  </si>
  <si>
    <t>Process Flow Diagram(s)</t>
  </si>
  <si>
    <t>Required.</t>
  </si>
  <si>
    <t>6.</t>
  </si>
  <si>
    <t>Process FMEA</t>
  </si>
  <si>
    <t>7.</t>
  </si>
  <si>
    <t>Control Plan</t>
  </si>
  <si>
    <t>Required.  Either a copy of your Control Plan, or a copy of your Work Instruction for manufacturing the product.</t>
  </si>
  <si>
    <t>8.</t>
  </si>
  <si>
    <t>Measurement System Analysis Studies</t>
  </si>
  <si>
    <t>Only if any Key Characteristics are noted on the Drawing, Specification, or by CVG.</t>
  </si>
  <si>
    <t>9.</t>
  </si>
  <si>
    <t>Dimensional Results</t>
  </si>
  <si>
    <t>Required.  Minimum 3 piece dimensional layout, or as directed by the plant.</t>
  </si>
  <si>
    <t>10.</t>
  </si>
  <si>
    <t>Records of Material / Performance Test Results</t>
  </si>
  <si>
    <t>Required.  Material Certification that the material meets the Specifications, and test results of any performance requirements.</t>
  </si>
  <si>
    <t>11.</t>
  </si>
  <si>
    <t>Initial Process Studies</t>
  </si>
  <si>
    <t>12.</t>
  </si>
  <si>
    <t>Qualified Laboratory Documentation</t>
  </si>
  <si>
    <t>13.</t>
  </si>
  <si>
    <t>Appearance Approval Report</t>
  </si>
  <si>
    <t>Only if the Drawing or Specification notes any appearance requirements.</t>
  </si>
  <si>
    <t>14.</t>
  </si>
  <si>
    <t>Sample Production Parts</t>
  </si>
  <si>
    <t>Required.  Minimum 3 pieces, or as directed by the plant.</t>
  </si>
  <si>
    <t>15.</t>
  </si>
  <si>
    <t>Master Sample</t>
  </si>
  <si>
    <t>Kept at your facility.</t>
  </si>
  <si>
    <t>16.</t>
  </si>
  <si>
    <t>Checking Aids</t>
  </si>
  <si>
    <t>Only if any templates, fixtures, jigs, etc. are used to inspect parts to ensure that they are maintained.</t>
  </si>
  <si>
    <t>17.</t>
  </si>
  <si>
    <t>Customer-Specific requirements</t>
  </si>
  <si>
    <t>Only if any additional requirements from us or the end customer.</t>
  </si>
  <si>
    <t>18.</t>
  </si>
  <si>
    <t>Part Submission Warrant</t>
  </si>
  <si>
    <t>Process Flow Chart</t>
  </si>
  <si>
    <t xml:space="preserve">Process Description: </t>
  </si>
  <si>
    <t>Date:</t>
  </si>
  <si>
    <t xml:space="preserve">Worksite Description: </t>
  </si>
  <si>
    <t>Page:</t>
  </si>
  <si>
    <t>#</t>
  </si>
  <si>
    <t>What</t>
  </si>
  <si>
    <t>Who</t>
  </si>
  <si>
    <t>Location</t>
  </si>
  <si>
    <t>Distance</t>
  </si>
  <si>
    <t>Time (Seconds)</t>
  </si>
  <si>
    <t xml:space="preserve">Task </t>
  </si>
  <si>
    <t>Decision</t>
  </si>
  <si>
    <t>Connector</t>
  </si>
  <si>
    <t>Direction of Flow</t>
  </si>
  <si>
    <t>Wait Time</t>
  </si>
  <si>
    <t>form intent: Document Process Steps/Highlight motion and waiting</t>
  </si>
  <si>
    <t>POTENTIAL</t>
  </si>
  <si>
    <t>FAILURE MODE AND EFFECTS ANALYSIS</t>
  </si>
  <si>
    <t>(PROCESS FMEA)</t>
  </si>
  <si>
    <t>Part Number:</t>
  </si>
  <si>
    <t>Supplier Plant:</t>
  </si>
  <si>
    <t>FMEA Number:</t>
  </si>
  <si>
    <t>Model Year(s)/Vehicle(s):</t>
  </si>
  <si>
    <t>Process Responsibility:</t>
  </si>
  <si>
    <t>Prepared By:</t>
  </si>
  <si>
    <t>Core Team:</t>
  </si>
  <si>
    <t>Key Dates:</t>
  </si>
  <si>
    <t>FMEA Date (Original):</t>
  </si>
  <si>
    <t xml:space="preserve">Revised:  </t>
  </si>
  <si>
    <t>Process Function / Requirement</t>
  </si>
  <si>
    <t>Potential Failure Mode</t>
  </si>
  <si>
    <t>Potential Effect(s) of Failure</t>
  </si>
  <si>
    <t>Sev</t>
  </si>
  <si>
    <t>Class</t>
  </si>
  <si>
    <t>Potential Cause(s) / Mechanism</t>
  </si>
  <si>
    <t>Occur</t>
  </si>
  <si>
    <t>Current Process Controls Prvention</t>
  </si>
  <si>
    <t>Current Process Controls Detection</t>
  </si>
  <si>
    <t>Detect.</t>
  </si>
  <si>
    <t>R.P.N.</t>
  </si>
  <si>
    <t>Recommended Action</t>
  </si>
  <si>
    <t>Responsibility &amp; Target Completion Date</t>
  </si>
  <si>
    <t>Action Results</t>
  </si>
  <si>
    <t>Action taken</t>
  </si>
  <si>
    <t>Detect</t>
  </si>
  <si>
    <t>Severity Evaluation Criteria</t>
  </si>
  <si>
    <t>Occurrence Evaluation Criteria</t>
  </si>
  <si>
    <t>Detection Evaluation Criteria</t>
  </si>
  <si>
    <t>10  Hazardous - Without warning</t>
  </si>
  <si>
    <t>10  Very High:  Persistent Failures</t>
  </si>
  <si>
    <t>10  Manual Inspection:  Cannot detect or is not checked.</t>
  </si>
  <si>
    <t xml:space="preserve">  9  Hazardous - With warning</t>
  </si>
  <si>
    <t xml:space="preserve">  9  Very High:  Persistent Failures</t>
  </si>
  <si>
    <t xml:space="preserve">  9  Manual Inspection:  Indirect or Random checks only.</t>
  </si>
  <si>
    <t xml:space="preserve">  8  Very High</t>
  </si>
  <si>
    <t xml:space="preserve">  8  High:  Frequent Failures</t>
  </si>
  <si>
    <t xml:space="preserve">  8  Manual Inspection:  Visual inspection only.</t>
  </si>
  <si>
    <t xml:space="preserve">  7  High</t>
  </si>
  <si>
    <t xml:space="preserve">  7  High:  Frequent Failures</t>
  </si>
  <si>
    <t xml:space="preserve">  7  Manual Inspection:  Double Visual inspection only.</t>
  </si>
  <si>
    <t xml:space="preserve">  6  Moderate</t>
  </si>
  <si>
    <t xml:space="preserve">  6  Moderate:  Occasional Failures</t>
  </si>
  <si>
    <t xml:space="preserve">  6  Manual Inspection/Gauging:  Use of charting methods, such as SPC.</t>
  </si>
  <si>
    <t xml:space="preserve">  5  Low</t>
  </si>
  <si>
    <t xml:space="preserve">  5  Moderate:  Occasional Failures</t>
  </si>
  <si>
    <t xml:space="preserve">  5  Gauging:  Variable gauging at next station or 100% Go/No-Go gauging at next station.</t>
  </si>
  <si>
    <t xml:space="preserve">  4  Very Low</t>
  </si>
  <si>
    <t xml:space="preserve">  4  Moderate:  Occasional Failures</t>
  </si>
  <si>
    <t xml:space="preserve">  4  Error-proofing/Gauging:  Error detection in next station, or gauging check on setup/first-piece.</t>
  </si>
  <si>
    <t xml:space="preserve">  3  Minor</t>
  </si>
  <si>
    <t xml:space="preserve">  3  Low:  Relatively Few Failures</t>
  </si>
  <si>
    <t xml:space="preserve">  3  Error-proofing/Gauging:  Error detection in-station, or in next stations using multiple layers.</t>
  </si>
  <si>
    <t xml:space="preserve">  2  Very Minor</t>
  </si>
  <si>
    <t xml:space="preserve">  2  Low:  Relatively Few Failures</t>
  </si>
  <si>
    <t xml:space="preserve">  2  Error-proofing/Gauging:  Error detection in-station (automatic gauging with auto stop feature.</t>
  </si>
  <si>
    <t xml:space="preserve">  1  None</t>
  </si>
  <si>
    <t xml:space="preserve">  1  Remote:  Failure is Unlikely</t>
  </si>
  <si>
    <t xml:space="preserve">  1  Error-proofed:  Discrepant parts cannot be made, error-proofed by process/product design.</t>
  </si>
  <si>
    <t>Process Capability (Cpk)*</t>
  </si>
  <si>
    <t xml:space="preserve">            PPM*           CP*           CpK*</t>
  </si>
  <si>
    <t>10      ≤ -0.33</t>
  </si>
  <si>
    <t xml:space="preserve">  9         -0.17</t>
  </si>
  <si>
    <t>10     ≥864,095        ≤0.17        ≤-0.33</t>
  </si>
  <si>
    <t xml:space="preserve">  8          0.00</t>
  </si>
  <si>
    <t xml:space="preserve">  9      697,672          0.33          -0.17</t>
  </si>
  <si>
    <t xml:space="preserve">  7          0.17</t>
  </si>
  <si>
    <t xml:space="preserve">  8      501,350          0.50           0.00</t>
  </si>
  <si>
    <t xml:space="preserve">  6          0.33</t>
  </si>
  <si>
    <t xml:space="preserve">  7      308,770          0.67           0.17</t>
  </si>
  <si>
    <t xml:space="preserve">  5          0.50</t>
  </si>
  <si>
    <t xml:space="preserve">  6      158,687          0.83           0.33</t>
  </si>
  <si>
    <t xml:space="preserve">  4          0.67</t>
  </si>
  <si>
    <t xml:space="preserve">  5        66,811          1.00           0.50</t>
  </si>
  <si>
    <t xml:space="preserve">  3          0.83</t>
  </si>
  <si>
    <t xml:space="preserve">  4        22,750          1.17           0.67</t>
  </si>
  <si>
    <t xml:space="preserve">  2          1.17</t>
  </si>
  <si>
    <t xml:space="preserve">  3          6,210          1.33           0.83</t>
  </si>
  <si>
    <t xml:space="preserve">  1       ≥ 1.50</t>
  </si>
  <si>
    <t xml:space="preserve">  2             233          1.67           1.17</t>
  </si>
  <si>
    <t>*With ± 1.5 sigma shift</t>
  </si>
  <si>
    <t xml:space="preserve">  1          ≤3.40         ≥2.00         ≥1.50</t>
  </si>
  <si>
    <t>*  With a ±1.5 sigma shift</t>
  </si>
  <si>
    <t>CONTROL PLAN</t>
  </si>
  <si>
    <t>Control Plan Number</t>
  </si>
  <si>
    <t>Key Contact / Phone</t>
  </si>
  <si>
    <t>Date (Original)</t>
  </si>
  <si>
    <t>Date (Revised)</t>
  </si>
  <si>
    <t>Part Number / Latest Change level</t>
  </si>
  <si>
    <t>Part Name / Description</t>
  </si>
  <si>
    <t>Supplier / Plant Approval / Date</t>
  </si>
  <si>
    <t>Part/ Process Number</t>
  </si>
  <si>
    <t>Process Name / Operation Description</t>
  </si>
  <si>
    <t>Machine, Device, Jig, Tools for Mfg.</t>
  </si>
  <si>
    <t>Characteristics</t>
  </si>
  <si>
    <t>Critical  to Quality   CtQ</t>
  </si>
  <si>
    <t>Method</t>
  </si>
  <si>
    <t>Reaction Plan</t>
  </si>
  <si>
    <t>No.</t>
  </si>
  <si>
    <t>Product</t>
  </si>
  <si>
    <t>Process</t>
  </si>
  <si>
    <t>Product / Process / Specifications / Technique</t>
  </si>
  <si>
    <t>Evaluation Measurement Technique</t>
  </si>
  <si>
    <t>Sample</t>
  </si>
  <si>
    <t>Control Method</t>
  </si>
  <si>
    <t>Size</t>
  </si>
  <si>
    <t>Freq.</t>
  </si>
  <si>
    <t xml:space="preserve">                              GAGE REPEATABILITY AND REPRODUCIBILITY REPORT</t>
  </si>
  <si>
    <t>ATTRIBUTE ANALYTICAL METHOD</t>
  </si>
  <si>
    <t>Part Number</t>
  </si>
  <si>
    <t>Gage Name</t>
  </si>
  <si>
    <t>Appraiser</t>
  </si>
  <si>
    <t>Part Name</t>
  </si>
  <si>
    <t>Gage Number</t>
  </si>
  <si>
    <t>Date Performed</t>
  </si>
  <si>
    <t>Characteristic</t>
  </si>
  <si>
    <t>Gage Type</t>
  </si>
  <si>
    <t>Upper Limit</t>
  </si>
  <si>
    <t>Lower Limit</t>
  </si>
  <si>
    <t>ATTRIBUTE DATA</t>
  </si>
  <si>
    <r>
      <t>X</t>
    </r>
    <r>
      <rPr>
        <family val="2"/>
        <vertAlign val="subscript"/>
        <sz val="10"/>
        <rFont val="Arial"/>
      </rPr>
      <t>T</t>
    </r>
  </si>
  <si>
    <t>a</t>
  </si>
  <si>
    <r>
      <t>P'</t>
    </r>
    <r>
      <rPr>
        <family val="2"/>
        <vertAlign val="subscript"/>
        <sz val="10"/>
        <rFont val="Arial"/>
      </rPr>
      <t>a</t>
    </r>
  </si>
  <si>
    <t>After entering data, follow the directions on the tab marked</t>
  </si>
  <si>
    <t>'Graph' to create the Gage Performance Curve</t>
  </si>
  <si>
    <t>FROM THE GRAPH</t>
  </si>
  <si>
    <t>ENTER THE FOLLOWING:</t>
  </si>
  <si>
    <r>
      <t>X</t>
    </r>
    <r>
      <rPr>
        <family val="2"/>
        <vertAlign val="subscript"/>
        <sz val="10"/>
        <rFont val="Arial"/>
      </rPr>
      <t>T</t>
    </r>
    <r>
      <rPr>
        <sz val="10"/>
        <rFont val="Arial"/>
      </rPr>
      <t xml:space="preserve"> (P=.5) =</t>
    </r>
  </si>
  <si>
    <r>
      <t>X</t>
    </r>
    <r>
      <rPr>
        <family val="2"/>
        <vertAlign val="subscript"/>
        <sz val="10"/>
        <rFont val="Arial"/>
      </rPr>
      <t xml:space="preserve">T </t>
    </r>
    <r>
      <rPr>
        <sz val="10"/>
        <rFont val="Arial"/>
      </rPr>
      <t>(P=.995) =</t>
    </r>
  </si>
  <si>
    <r>
      <t>X</t>
    </r>
    <r>
      <rPr>
        <family val="2"/>
        <vertAlign val="subscript"/>
        <sz val="10"/>
        <rFont val="Arial"/>
      </rPr>
      <t xml:space="preserve">T </t>
    </r>
    <r>
      <rPr>
        <sz val="10"/>
        <rFont val="Arial"/>
      </rPr>
      <t>(P=.005) =</t>
    </r>
  </si>
  <si>
    <t>Measurement Unit Analysis</t>
  </si>
  <si>
    <t xml:space="preserve">  Bias</t>
  </si>
  <si>
    <t xml:space="preserve">  Repeatability</t>
  </si>
  <si>
    <t>B</t>
  </si>
  <si>
    <t>=</t>
  </si>
  <si>
    <t>R</t>
  </si>
  <si>
    <t xml:space="preserve">  t Statistic</t>
  </si>
  <si>
    <t>t</t>
  </si>
  <si>
    <t>31.3 IBI / R</t>
  </si>
  <si>
    <r>
      <t>t</t>
    </r>
    <r>
      <rPr>
        <family val="2"/>
        <vertAlign val="subscript"/>
        <sz val="10"/>
        <rFont val="Arial"/>
      </rPr>
      <t>0.025,19</t>
    </r>
  </si>
  <si>
    <t xml:space="preserve">  Result</t>
  </si>
  <si>
    <t>Reviewed</t>
  </si>
  <si>
    <t>Title</t>
  </si>
  <si>
    <t>Directions for Gage Performance Curve for Attribute Analytical Method Form</t>
  </si>
  <si>
    <t>1)  Click Tools - Data Analysis - Regression</t>
  </si>
  <si>
    <t xml:space="preserve">     (If Data Analysis is not available load Analysis Tool Pak from the Add-Ins menu)</t>
  </si>
  <si>
    <t>2)  In the box for Input Y Range select the cells GR&amp;R ATT(L)!D14:D22</t>
  </si>
  <si>
    <t>3)  In the box for Input X Range select the cells GR&amp;R ATT(L)!B14:B22</t>
  </si>
  <si>
    <t>4)  In the box for Output range select the cells below A23:M60</t>
  </si>
  <si>
    <t>5)  Check Line Fit Plots</t>
  </si>
  <si>
    <t>6)  Press OK</t>
  </si>
  <si>
    <t>7)  Copy the Line Fit plot graph to the space on the Analytic sheet</t>
  </si>
  <si>
    <t>8)  Change the graph title to Gage Performance Curve</t>
  </si>
  <si>
    <t>9)  Change the x axis to Xt</t>
  </si>
  <si>
    <t>10)  Change the y axis to Probability</t>
  </si>
  <si>
    <t>GAGE REPEATABILITY AND REPRODUCIBILITY REPORT</t>
  </si>
  <si>
    <t xml:space="preserve">                    ATTRIBUTE RISK METHOD</t>
  </si>
  <si>
    <t>ATTRIBUTE RISK METHOD</t>
  </si>
  <si>
    <t>Appraiser A</t>
  </si>
  <si>
    <t>Appraiser B</t>
  </si>
  <si>
    <t>Upper Specification</t>
  </si>
  <si>
    <t>Lower Specification</t>
  </si>
  <si>
    <t>Appraiser C</t>
  </si>
  <si>
    <t>DATA TABLE</t>
  </si>
  <si>
    <t>AB Tabulation</t>
  </si>
  <si>
    <t>BC Tabulation</t>
  </si>
  <si>
    <t>AC Tabulation</t>
  </si>
  <si>
    <t>PART</t>
  </si>
  <si>
    <t>A-1</t>
  </si>
  <si>
    <t>A-2</t>
  </si>
  <si>
    <t>A-3</t>
  </si>
  <si>
    <t>B-1</t>
  </si>
  <si>
    <t>B-2</t>
  </si>
  <si>
    <t>B-3</t>
  </si>
  <si>
    <t>C-1</t>
  </si>
  <si>
    <t>C-2</t>
  </si>
  <si>
    <t>C-3</t>
  </si>
  <si>
    <t>Reference</t>
  </si>
  <si>
    <t>Reference Value</t>
  </si>
  <si>
    <t>Code</t>
  </si>
  <si>
    <t>DATA TABLE CONTINUED</t>
  </si>
  <si>
    <t>Risk Analysis</t>
  </si>
  <si>
    <t>A * B Crosstabulation</t>
  </si>
  <si>
    <t>Total</t>
  </si>
  <si>
    <t>A</t>
  </si>
  <si>
    <t>Count</t>
  </si>
  <si>
    <t>Expected Count</t>
  </si>
  <si>
    <t>B * C Crosstabulation</t>
  </si>
  <si>
    <t>C</t>
  </si>
  <si>
    <t>A * C Crosstabulation</t>
  </si>
  <si>
    <t>Gage R&amp;R Instruction Sheet</t>
  </si>
  <si>
    <t xml:space="preserve">    1)</t>
  </si>
  <si>
    <t>USE THE " GAGE R &amp; R BLANK " FORM FOR ANY NEW GAGE R &amp; R STUDIES. A sample Gage R &amp; R analysis is</t>
  </si>
  <si>
    <t xml:space="preserve">               </t>
  </si>
  <si>
    <t>provided in the work sheet folder " Sample Gage R &amp; R ". SAVE THE FILE UNDER DIFFERENT NAME BEFORE USING.</t>
  </si>
  <si>
    <t xml:space="preserve">    2)</t>
  </si>
  <si>
    <t xml:space="preserve">Data can be entered in the light yellow shaded cells only. </t>
  </si>
  <si>
    <t xml:space="preserve">All other cells are protected. </t>
  </si>
  <si>
    <t xml:space="preserve">    3)</t>
  </si>
  <si>
    <t>This Gage R &amp; R Study is designed for Variable Gages and uses Average &amp; Range Method for the Analysis. The method</t>
  </si>
  <si>
    <t xml:space="preserve">              </t>
  </si>
  <si>
    <t xml:space="preserve">is based on the AIAG - Measurement System Analysis Guidelines ( 3rd Ed. - Mar 2002 - Page # 111 to 117 ) and assumes </t>
  </si>
  <si>
    <t>normal distribution with 99.5% of area under normal curve ( or 5.15 standard deviation spread ).</t>
  </si>
  <si>
    <t xml:space="preserve">    4)</t>
  </si>
  <si>
    <r>
      <t xml:space="preserve">Identify the Gage and Parts to be used for the Gage R &amp; R Study and </t>
    </r>
    <r>
      <rPr>
        <b/>
        <color indexed="12"/>
        <family val="2"/>
        <sz val="10"/>
        <rFont val="Arial"/>
      </rPr>
      <t>ensure that the Gage used for study has a valid</t>
    </r>
  </si>
  <si>
    <t xml:space="preserve">             </t>
  </si>
  <si>
    <r>
      <t>calibration</t>
    </r>
    <r>
      <rPr>
        <b/>
        <family val="2"/>
        <sz val="10"/>
        <rFont val="Arial"/>
      </rPr>
      <t xml:space="preserve"> ( Actual Production Parts should be used instead of Gage Blocks - </t>
    </r>
    <r>
      <rPr>
        <b/>
        <color indexed="12"/>
        <family val="2"/>
        <sz val="10"/>
        <rFont val="Arial"/>
      </rPr>
      <t xml:space="preserve">Only 1 Gage must be used and the </t>
    </r>
  </si>
  <si>
    <t>number of Parts must be from 5 to 10 ).</t>
  </si>
  <si>
    <t xml:space="preserve">    5)</t>
  </si>
  <si>
    <t>Identify the Appraisers to be used for this study ( must have either 2 or 3 Appraisers - Enter their names in the</t>
  </si>
  <si>
    <t>Parenthesis area provided on the work sheet )</t>
  </si>
  <si>
    <t xml:space="preserve">    6)</t>
  </si>
  <si>
    <t>Determine the number of measurements to be made by each Appraiser ( Each Appraiser will use the same gage for</t>
  </si>
  <si>
    <t>measuring the selected parts )</t>
  </si>
  <si>
    <t xml:space="preserve">    7)</t>
  </si>
  <si>
    <t>Enter in the appropriate spaces at the top of Gage R &amp; R work sheet, information on : " Part Number &amp; Name ";</t>
  </si>
  <si>
    <t xml:space="preserve">            </t>
  </si>
  <si>
    <t>" Characteristics "  to be checked; " Specification Limits " for the part under study; " Gage Name, Number &amp; Type ",</t>
  </si>
  <si>
    <t>" Date " this study was conducted, and the Name of the person who  " Performed " data collection / analysis.</t>
  </si>
  <si>
    <t>Gage R &amp; R will be calculated based on Equipment Variation ( EV ), Part Variation ( PV ), and Appraiser Variation ( AV )</t>
  </si>
  <si>
    <t xml:space="preserve">           </t>
  </si>
  <si>
    <t>during the study.</t>
  </si>
  <si>
    <t xml:space="preserve">    8)</t>
  </si>
  <si>
    <t>Have Appraiser # 1 measure the selected parts - ( Min. 5 &amp; Max. 10 ) and record the measurements in the row 1.</t>
  </si>
  <si>
    <t>Repeat the measurements for the same parts one or two more times as determined in Step 6 above and record the</t>
  </si>
  <si>
    <r>
      <t xml:space="preserve">data in rows 2 and 3 ( as appropriate ). </t>
    </r>
    <r>
      <rPr>
        <b/>
        <color indexed="48"/>
        <family val="2"/>
        <sz val="10"/>
        <rFont val="Arial"/>
      </rPr>
      <t>This spreadsheet accepts positive as well as negative numbers.</t>
    </r>
  </si>
  <si>
    <t xml:space="preserve">    9)</t>
  </si>
  <si>
    <t>Repeat Step 8 for Appraiser 2 and 3 as applicable.</t>
  </si>
  <si>
    <t xml:space="preserve">   10)</t>
  </si>
  <si>
    <r>
      <t>The Spread Sheet will automatically calculate and return the values and study results</t>
    </r>
    <r>
      <rPr>
        <b/>
        <family val="2"/>
        <sz val="10"/>
        <rFont val="Arial"/>
      </rPr>
      <t xml:space="preserve"> for the</t>
    </r>
  </si>
  <si>
    <r>
      <t>correct set of data entered</t>
    </r>
    <r>
      <rPr>
        <b/>
        <family val="2"/>
        <sz val="10"/>
        <rFont val="Arial"/>
      </rPr>
      <t>. If the data set is not correct ( or forgot to enter data values ), results will not be returned.</t>
    </r>
  </si>
  <si>
    <t>( Some error messages such as " ERR " or " #Value! " or " #### " or " Blank Cells " might be displayed )</t>
  </si>
  <si>
    <t xml:space="preserve">   11)</t>
  </si>
  <si>
    <t>The % Gage R &amp; R result interpretation uses the % Tolerance values.</t>
  </si>
  <si>
    <t>GAGE REPEATABILITY AND REPRODUCIBILITY DATA SHEET</t>
  </si>
  <si>
    <t>VARIABLE DATA RESULTS</t>
  </si>
  <si>
    <t>Gage Name:</t>
  </si>
  <si>
    <t>Mr. Smith</t>
  </si>
  <si>
    <t>12345-001</t>
  </si>
  <si>
    <t>THICKNESS GAUGE</t>
  </si>
  <si>
    <t>Part Name:</t>
  </si>
  <si>
    <t>Gage Number:</t>
  </si>
  <si>
    <t>Mrs. Jones</t>
  </si>
  <si>
    <t>THUMBSCREW</t>
  </si>
  <si>
    <t>ABCD001</t>
  </si>
  <si>
    <t>Specification</t>
  </si>
  <si>
    <t>Gage Type:</t>
  </si>
  <si>
    <t>Mr. Knowitall</t>
  </si>
  <si>
    <t>THICKNESS</t>
  </si>
  <si>
    <t>Dial</t>
  </si>
  <si>
    <t>Characteristic Classification</t>
  </si>
  <si>
    <t>Trials</t>
  </si>
  <si>
    <t>Parts</t>
  </si>
  <si>
    <t>Appraisers</t>
  </si>
  <si>
    <t>DIMENSION</t>
  </si>
  <si>
    <t>APPRAISER/</t>
  </si>
  <si>
    <t>AVERAGE</t>
  </si>
  <si>
    <t>% Tolerance (Tol)</t>
  </si>
  <si>
    <t>TRIAL #</t>
  </si>
  <si>
    <t xml:space="preserve">  Repeatability - Equipment Variation (EV)</t>
  </si>
  <si>
    <t>1.  A</t>
  </si>
  <si>
    <t>EV</t>
  </si>
  <si>
    <r>
      <t>R</t>
    </r>
    <r>
      <rPr>
        <sz val="10"/>
        <rFont val="Arial"/>
      </rPr>
      <t xml:space="preserve">  x  K</t>
    </r>
    <r>
      <rPr>
        <family val="2"/>
        <vertAlign val="subscript"/>
        <sz val="10"/>
        <rFont val="Arial"/>
      </rPr>
      <t>1</t>
    </r>
  </si>
  <si>
    <t>K1</t>
  </si>
  <si>
    <t>% EV</t>
  </si>
  <si>
    <t>100 (EV/Tol)</t>
  </si>
  <si>
    <t>AVE</t>
  </si>
  <si>
    <r>
      <t>x</t>
    </r>
    <r>
      <rPr>
        <family val="2"/>
        <vertAlign val="subscript"/>
        <sz val="10"/>
        <rFont val="Arial"/>
      </rPr>
      <t>a</t>
    </r>
    <r>
      <rPr>
        <sz val="10"/>
        <rFont val="Arial"/>
      </rPr>
      <t>=</t>
    </r>
  </si>
  <si>
    <t xml:space="preserve">  Reproducibility - Appraiser Variation (AV)</t>
  </si>
  <si>
    <r>
      <t>r</t>
    </r>
    <r>
      <rPr>
        <family val="2"/>
        <vertAlign val="subscript"/>
        <sz val="10"/>
        <rFont val="Arial"/>
      </rPr>
      <t>a</t>
    </r>
    <r>
      <rPr>
        <sz val="10"/>
        <rFont val="Arial"/>
      </rPr>
      <t>=</t>
    </r>
  </si>
  <si>
    <t>AV</t>
  </si>
  <si>
    <r>
      <t>{(</t>
    </r>
    <r>
      <rPr>
        <sz val="12"/>
        <rFont val="Statistical Symbols"/>
      </rPr>
      <t>x</t>
    </r>
    <r>
      <rPr>
        <family val="2"/>
        <vertAlign val="subscript"/>
        <sz val="10"/>
        <rFont val="Arial"/>
      </rPr>
      <t>DIFF</t>
    </r>
    <r>
      <rPr>
        <sz val="10"/>
        <rFont val="Arial"/>
      </rPr>
      <t xml:space="preserve"> x K</t>
    </r>
    <r>
      <rPr>
        <family val="2"/>
        <vertAlign val="subscript"/>
        <sz val="10"/>
        <rFont val="Arial"/>
      </rPr>
      <t>2</t>
    </r>
    <r>
      <rPr>
        <sz val="10"/>
        <rFont val="Arial"/>
      </rPr>
      <t>)</t>
    </r>
    <r>
      <rPr>
        <family val="2"/>
        <vertAlign val="superscript"/>
        <sz val="10"/>
        <rFont val="Arial"/>
      </rPr>
      <t>2</t>
    </r>
    <r>
      <rPr>
        <sz val="10"/>
        <rFont val="Arial"/>
      </rPr>
      <t xml:space="preserve"> - (EV</t>
    </r>
    <r>
      <rPr>
        <family val="2"/>
        <vertAlign val="superscript"/>
        <sz val="10"/>
        <rFont val="Arial"/>
      </rPr>
      <t>2</t>
    </r>
    <r>
      <rPr>
        <sz val="10"/>
        <rFont val="Arial"/>
      </rPr>
      <t>/nr)}</t>
    </r>
    <r>
      <rPr>
        <family val="2"/>
        <vertAlign val="superscript"/>
        <sz val="10"/>
        <rFont val="Arial"/>
      </rPr>
      <t>1/2</t>
    </r>
  </si>
  <si>
    <t>% AV</t>
  </si>
  <si>
    <t>100 (AV/Tol)</t>
  </si>
  <si>
    <t>6.  B</t>
  </si>
  <si>
    <t>``</t>
  </si>
  <si>
    <r>
      <t>K</t>
    </r>
    <r>
      <rPr>
        <family val="2"/>
        <vertAlign val="subscript"/>
        <sz val="10"/>
        <rFont val="Arial"/>
      </rPr>
      <t>2</t>
    </r>
  </si>
  <si>
    <t xml:space="preserve">   n = number of parts</t>
  </si>
  <si>
    <r>
      <t>x</t>
    </r>
    <r>
      <rPr>
        <family val="2"/>
        <vertAlign val="subscript"/>
        <sz val="10"/>
        <rFont val="Arial"/>
      </rPr>
      <t>b</t>
    </r>
    <r>
      <rPr>
        <sz val="10"/>
        <rFont val="Arial"/>
      </rPr>
      <t>=</t>
    </r>
  </si>
  <si>
    <t xml:space="preserve">  Repeatability &amp; Reproducibility (R &amp; R)</t>
  </si>
  <si>
    <t xml:space="preserve">   r = number of trials</t>
  </si>
  <si>
    <r>
      <t>r</t>
    </r>
    <r>
      <rPr>
        <family val="2"/>
        <vertAlign val="subscript"/>
        <sz val="10"/>
        <rFont val="Arial"/>
      </rPr>
      <t>b</t>
    </r>
    <r>
      <rPr>
        <sz val="10"/>
        <rFont val="Arial"/>
      </rPr>
      <t>=</t>
    </r>
  </si>
  <si>
    <t>R &amp; R</t>
  </si>
  <si>
    <r>
      <t>{(EV</t>
    </r>
    <r>
      <rPr>
        <family val="2"/>
        <vertAlign val="superscript"/>
        <sz val="10"/>
        <rFont val="Arial"/>
      </rPr>
      <t>2</t>
    </r>
    <r>
      <rPr>
        <sz val="10"/>
        <rFont val="Arial"/>
      </rPr>
      <t xml:space="preserve"> + AV</t>
    </r>
    <r>
      <rPr>
        <family val="2"/>
        <vertAlign val="superscript"/>
        <sz val="10"/>
        <rFont val="Arial"/>
      </rPr>
      <t>2</t>
    </r>
    <r>
      <rPr>
        <sz val="10"/>
        <rFont val="Arial"/>
      </rPr>
      <t>)}</t>
    </r>
    <r>
      <rPr>
        <family val="2"/>
        <vertAlign val="superscript"/>
        <sz val="10"/>
        <rFont val="Arial"/>
      </rPr>
      <t>1/2</t>
    </r>
  </si>
  <si>
    <r>
      <t>K</t>
    </r>
    <r>
      <rPr>
        <b/>
        <family val="2"/>
        <vertAlign val="subscript"/>
        <sz val="10"/>
        <rFont val="Arial"/>
      </rPr>
      <t>3</t>
    </r>
  </si>
  <si>
    <t>11.  C</t>
  </si>
  <si>
    <t>% R&amp;R</t>
  </si>
  <si>
    <t>100 (R&amp;R/Tol)</t>
  </si>
  <si>
    <t xml:space="preserve">  Part Variation (PV)</t>
  </si>
  <si>
    <r>
      <t>x</t>
    </r>
    <r>
      <rPr>
        <family val="2"/>
        <vertAlign val="subscript"/>
        <sz val="10"/>
        <rFont val="Arial"/>
      </rPr>
      <t>c</t>
    </r>
    <r>
      <rPr>
        <sz val="10"/>
        <rFont val="Arial"/>
      </rPr>
      <t>=</t>
    </r>
  </si>
  <si>
    <t>PV</t>
  </si>
  <si>
    <r>
      <t>R</t>
    </r>
    <r>
      <rPr>
        <family val="2"/>
        <vertAlign val="subscript"/>
        <sz val="10"/>
        <rFont val="Arial"/>
      </rPr>
      <t>P</t>
    </r>
    <r>
      <rPr>
        <sz val="10"/>
        <rFont val="Arial"/>
      </rPr>
      <t xml:space="preserve"> x K</t>
    </r>
    <r>
      <rPr>
        <family val="2"/>
        <vertAlign val="subscript"/>
        <sz val="10"/>
        <rFont val="Arial"/>
      </rPr>
      <t>3</t>
    </r>
  </si>
  <si>
    <r>
      <t>r</t>
    </r>
    <r>
      <rPr>
        <family val="2"/>
        <vertAlign val="subscript"/>
        <sz val="10"/>
        <rFont val="Arial"/>
      </rPr>
      <t>c</t>
    </r>
    <r>
      <rPr>
        <family val="2"/>
        <sz val="10"/>
        <rFont val="Arial"/>
      </rPr>
      <t>=</t>
    </r>
  </si>
  <si>
    <t xml:space="preserve">16. PART </t>
  </si>
  <si>
    <r>
      <t>X</t>
    </r>
    <r>
      <rPr>
        <sz val="10"/>
        <rFont val="Arial"/>
      </rPr>
      <t>=</t>
    </r>
  </si>
  <si>
    <t>% PV</t>
  </si>
  <si>
    <t>100 (PV/Tol)</t>
  </si>
  <si>
    <t xml:space="preserve">     AVE ( Xp )</t>
  </si>
  <si>
    <r>
      <t>R</t>
    </r>
    <r>
      <rPr>
        <family val="2"/>
        <vertAlign val="subscript"/>
        <sz val="10"/>
        <rFont val="Arial"/>
      </rPr>
      <t>p</t>
    </r>
    <r>
      <rPr>
        <sz val="10"/>
        <rFont val="Arial"/>
      </rPr>
      <t>=</t>
    </r>
  </si>
  <si>
    <t>Tolerance</t>
  </si>
  <si>
    <r>
      <t>(</t>
    </r>
    <r>
      <rPr>
        <sz val="12"/>
        <rFont val="Statistical Symbols"/>
      </rPr>
      <t>r</t>
    </r>
    <r>
      <rPr>
        <family val="2"/>
        <vertAlign val="subscript"/>
        <sz val="10"/>
        <rFont val="Arial"/>
      </rPr>
      <t>a</t>
    </r>
    <r>
      <rPr>
        <sz val="10"/>
        <rFont val="Arial"/>
      </rPr>
      <t xml:space="preserve"> + </t>
    </r>
    <r>
      <rPr>
        <sz val="12"/>
        <rFont val="Statistical Symbols"/>
      </rPr>
      <t>r</t>
    </r>
    <r>
      <rPr>
        <family val="2"/>
        <vertAlign val="subscript"/>
        <sz val="10"/>
        <rFont val="Arial"/>
      </rPr>
      <t>b</t>
    </r>
    <r>
      <rPr>
        <sz val="10"/>
        <rFont val="Arial"/>
      </rPr>
      <t xml:space="preserve"> + </t>
    </r>
    <r>
      <rPr>
        <sz val="12"/>
        <rFont val="Statistical Symbols"/>
      </rPr>
      <t>r</t>
    </r>
    <r>
      <rPr>
        <family val="2"/>
        <vertAlign val="subscript"/>
        <sz val="10"/>
        <rFont val="Arial"/>
      </rPr>
      <t>c</t>
    </r>
    <r>
      <rPr>
        <sz val="10"/>
        <rFont val="Arial"/>
      </rPr>
      <t>) / (# OF APPRAISERS) =</t>
    </r>
  </si>
  <si>
    <r>
      <t>R</t>
    </r>
    <r>
      <rPr>
        <sz val="10"/>
        <rFont val="Arial"/>
      </rPr>
      <t>=</t>
    </r>
  </si>
  <si>
    <t>Tol</t>
  </si>
  <si>
    <t>Upper - Lower</t>
  </si>
  <si>
    <r>
      <t xml:space="preserve">(Max </t>
    </r>
    <r>
      <rPr>
        <sz val="12"/>
        <rFont val="Statistical Symbols"/>
      </rPr>
      <t>x</t>
    </r>
    <r>
      <rPr>
        <sz val="10"/>
        <rFont val="Arial"/>
      </rPr>
      <t xml:space="preserve"> - Min </t>
    </r>
    <r>
      <rPr>
        <sz val="12"/>
        <rFont val="Statistical Symbols"/>
      </rPr>
      <t>x</t>
    </r>
    <r>
      <rPr>
        <sz val="10"/>
        <rFont val="Arial"/>
      </rPr>
      <t>) =</t>
    </r>
  </si>
  <si>
    <r>
      <t>x</t>
    </r>
    <r>
      <rPr>
        <family val="2"/>
        <vertAlign val="subscript"/>
        <sz val="10"/>
        <rFont val="Arial"/>
      </rPr>
      <t>DIFF</t>
    </r>
    <r>
      <rPr>
        <sz val="10"/>
        <rFont val="Arial"/>
      </rPr>
      <t>=</t>
    </r>
  </si>
  <si>
    <r>
      <t>R</t>
    </r>
    <r>
      <rPr>
        <sz val="10"/>
        <rFont val="Arial"/>
      </rPr>
      <t xml:space="preserve"> x D</t>
    </r>
    <r>
      <rPr>
        <family val="2"/>
        <vertAlign val="subscript"/>
        <sz val="10"/>
        <rFont val="Arial"/>
      </rPr>
      <t>4</t>
    </r>
    <r>
      <rPr>
        <sz val="10"/>
        <rFont val="Arial"/>
      </rPr>
      <t>* =</t>
    </r>
  </si>
  <si>
    <r>
      <t>UCL</t>
    </r>
    <r>
      <rPr>
        <family val="2"/>
        <vertAlign val="subscript"/>
        <sz val="10"/>
        <rFont val="Arial"/>
      </rPr>
      <t>R</t>
    </r>
    <r>
      <rPr>
        <sz val="10"/>
        <rFont val="Arial"/>
      </rPr>
      <t>=</t>
    </r>
  </si>
  <si>
    <r>
      <t>R</t>
    </r>
    <r>
      <rPr>
        <sz val="10"/>
        <rFont val="Arial"/>
      </rPr>
      <t xml:space="preserve"> x D</t>
    </r>
    <r>
      <rPr>
        <family val="2"/>
        <vertAlign val="subscript"/>
        <sz val="10"/>
        <rFont val="Arial"/>
      </rPr>
      <t>3</t>
    </r>
    <r>
      <rPr>
        <sz val="10"/>
        <rFont val="Arial"/>
      </rPr>
      <t>* =</t>
    </r>
  </si>
  <si>
    <r>
      <t>LCL</t>
    </r>
    <r>
      <rPr>
        <family val="2"/>
        <vertAlign val="subscript"/>
        <sz val="10"/>
        <rFont val="Arial"/>
      </rPr>
      <t>R</t>
    </r>
    <r>
      <rPr>
        <sz val="10"/>
        <rFont val="Arial"/>
      </rPr>
      <t>=</t>
    </r>
  </si>
  <si>
    <t>All calculations are based upon predicting 5.15 sigma (99.0% of the area under the normal distribution curve).</t>
  </si>
  <si>
    <r>
      <t>* D</t>
    </r>
    <r>
      <rPr>
        <family val="2"/>
        <vertAlign val="subscript"/>
        <sz val="8"/>
        <rFont val="Arial"/>
      </rPr>
      <t>4</t>
    </r>
    <r>
      <rPr>
        <family val="2"/>
        <sz val="8"/>
        <rFont val="Arial"/>
      </rPr>
      <t xml:space="preserve"> =3.27 for 2 trials and 2.58 for 3 trials;  D</t>
    </r>
    <r>
      <rPr>
        <family val="2"/>
        <vertAlign val="subscript"/>
        <sz val="8"/>
        <rFont val="Arial"/>
      </rPr>
      <t>3</t>
    </r>
    <r>
      <rPr>
        <family val="2"/>
        <sz val="8"/>
        <rFont val="Arial"/>
      </rPr>
      <t xml:space="preserve"> = 0 for up to 7 trials.  UCL</t>
    </r>
    <r>
      <rPr>
        <family val="2"/>
        <vertAlign val="subscript"/>
        <sz val="8"/>
        <rFont val="Arial"/>
      </rPr>
      <t>R</t>
    </r>
    <r>
      <rPr>
        <family val="2"/>
        <sz val="8"/>
        <rFont val="Arial"/>
      </rPr>
      <t xml:space="preserve"> represents the limit of individual R's.  Circle those that are</t>
    </r>
  </si>
  <si>
    <r>
      <t>K</t>
    </r>
    <r>
      <rPr>
        <family val="2"/>
        <vertAlign val="subscript"/>
        <sz val="8"/>
        <rFont val="Arial"/>
      </rPr>
      <t>1</t>
    </r>
    <r>
      <rPr>
        <family val="2"/>
        <sz val="8"/>
        <rFont val="Arial"/>
      </rPr>
      <t xml:space="preserve"> is 5.15/d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>, where d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 xml:space="preserve"> is dependent on the number of trials (m) and the number if parts times the number of operators (g) which is</t>
    </r>
  </si>
  <si>
    <t>beyond this limit.  Identify the cause and correct.  Repeat these readings using the same appraiser and unit as originally used or dis-</t>
  </si>
  <si>
    <t>assumed to be greater than 15.</t>
  </si>
  <si>
    <t>card values and re-average and recompute R and the limiting value from the remaining observations.</t>
  </si>
  <si>
    <t>AV - If a negative value is calculated under the square root sign, the appraiser variation (AV) defaults to zero (0).</t>
  </si>
  <si>
    <r>
      <t>K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 xml:space="preserve"> is 5.15/d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>, where d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 xml:space="preserve"> is dependent on the number of operators (m) and (g) is 1, since there is only one range calculation.</t>
    </r>
  </si>
  <si>
    <t>Notes:</t>
  </si>
  <si>
    <r>
      <t>K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 xml:space="preserve"> is 5.15/d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>, where d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 xml:space="preserve"> is dependent on the number of parts (m) and (g) is 1, since there is only one range calculation.</t>
    </r>
  </si>
  <si>
    <r>
      <t>d</t>
    </r>
    <r>
      <rPr>
        <family val="2"/>
        <vertAlign val="subscript"/>
        <sz val="8"/>
        <rFont val="Arial"/>
      </rPr>
      <t>2</t>
    </r>
    <r>
      <rPr>
        <family val="2"/>
        <sz val="8"/>
        <rFont val="Arial"/>
      </rPr>
      <t xml:space="preserve"> is obtained from Table D</t>
    </r>
    <r>
      <rPr>
        <family val="2"/>
        <vertAlign val="subscript"/>
        <sz val="8"/>
        <rFont val="Arial"/>
      </rPr>
      <t>3</t>
    </r>
    <r>
      <rPr>
        <family val="2"/>
        <sz val="8"/>
        <rFont val="Arial"/>
      </rPr>
      <t>, "Quality Control and Industrial Statistics", A.J. Duncan.</t>
    </r>
  </si>
  <si>
    <r>
      <t>K</t>
    </r>
    <r>
      <rPr>
        <b/>
        <family val="2"/>
        <vertAlign val="subscript"/>
        <sz val="10"/>
        <rFont val="Arial"/>
      </rPr>
      <t>1</t>
    </r>
  </si>
  <si>
    <t>ELEMENT:</t>
  </si>
  <si>
    <t>TITLE:</t>
  </si>
  <si>
    <t>INSPECTION AND TESTING</t>
  </si>
  <si>
    <t>CAPABILITY REPORT</t>
  </si>
  <si>
    <t>PART #</t>
  </si>
  <si>
    <t>CAVITY #</t>
  </si>
  <si>
    <t>Appearance class</t>
  </si>
  <si>
    <t>Inspector</t>
  </si>
  <si>
    <t>CONTROL #</t>
  </si>
  <si>
    <t>Description</t>
  </si>
  <si>
    <t>E.C. Level</t>
  </si>
  <si>
    <t>Supplier</t>
  </si>
  <si>
    <t>Dimension</t>
  </si>
  <si>
    <t>Print Location</t>
  </si>
  <si>
    <t>Insp. Method</t>
  </si>
  <si>
    <t>Average</t>
  </si>
  <si>
    <t>Std. deviation</t>
  </si>
  <si>
    <t>Low Spec</t>
  </si>
  <si>
    <t>High Spec</t>
  </si>
  <si>
    <t>Cp index</t>
  </si>
  <si>
    <t>Cpk index</t>
  </si>
  <si>
    <t>Truck Industry</t>
  </si>
  <si>
    <t xml:space="preserve">Customer Part Number  </t>
  </si>
  <si>
    <t>Rev.</t>
  </si>
  <si>
    <t>If applicable</t>
  </si>
  <si>
    <t>Engineering Drawing Change Level</t>
  </si>
  <si>
    <t>Tool PO Number</t>
  </si>
  <si>
    <t>Dated</t>
  </si>
  <si>
    <t>Additional Engineering Changes</t>
  </si>
  <si>
    <t>Shown on Drawing Number</t>
  </si>
  <si>
    <t>Purchase Order No.</t>
  </si>
  <si>
    <t>Weight (kg)</t>
  </si>
  <si>
    <t>Checking Aid Number</t>
  </si>
  <si>
    <t>Engineering Change Level</t>
  </si>
  <si>
    <t>ORGANIZATION MANUFACTURING INFORMATION</t>
  </si>
  <si>
    <t>SUBMISSION INFORMATION</t>
  </si>
  <si>
    <t>Organization Name and Code</t>
  </si>
  <si>
    <t>Customer Name/Division</t>
  </si>
  <si>
    <t>Street Address</t>
  </si>
  <si>
    <t>Customer Contact</t>
  </si>
  <si>
    <t>City</t>
  </si>
  <si>
    <t>State</t>
  </si>
  <si>
    <t>Zip</t>
  </si>
  <si>
    <t>Application</t>
  </si>
  <si>
    <t>Note:</t>
  </si>
  <si>
    <t>Does this part contain any restricted or reportable substances?</t>
  </si>
  <si>
    <t>Are plastic parts identified with appropriate ISO marking codes?</t>
  </si>
  <si>
    <t>REASON FOR SUBMISSION (check at least one)</t>
  </si>
  <si>
    <t>Initial submission</t>
  </si>
  <si>
    <t>Change to Optional Construction or Material</t>
  </si>
  <si>
    <t>Engineering Change(s)</t>
  </si>
  <si>
    <t>Sub-Supplier or Material Source Change</t>
  </si>
  <si>
    <t>Tooling: Transfer, Replacement, Refurbishment, or Additional</t>
  </si>
  <si>
    <t>Change in Part Processing</t>
  </si>
  <si>
    <t>Correction of Discrepancy</t>
  </si>
  <si>
    <t>Parts produced at Additional Location</t>
  </si>
  <si>
    <t>Tooling inactive &gt; than 1 year</t>
  </si>
  <si>
    <t>Other - please specify below</t>
  </si>
  <si>
    <t>SUBMISSION LEVEL (Check one)</t>
  </si>
  <si>
    <t>Level 1 - Warrant only (and for designated appearance items, an Appearance Approval Report) submitted to customer.</t>
  </si>
  <si>
    <t>Level 2 - Warrant with product samples and limited supporting data submitted to customer.</t>
  </si>
  <si>
    <t>Level 3 - Warrant with product samples and complete supporting data submitted to customer.</t>
  </si>
  <si>
    <t>Level 4 - Warrant and other requirements as defined by customer.</t>
  </si>
  <si>
    <t xml:space="preserve">  1      2</t>
  </si>
  <si>
    <t xml:space="preserve">  3      4</t>
  </si>
  <si>
    <t xml:space="preserve">  5      6</t>
  </si>
  <si>
    <t xml:space="preserve">  7      8</t>
  </si>
  <si>
    <t xml:space="preserve">  9     10</t>
  </si>
  <si>
    <t xml:space="preserve"> 11    12</t>
  </si>
  <si>
    <t xml:space="preserve"> 13    14</t>
  </si>
  <si>
    <t xml:space="preserve"> 15    16</t>
  </si>
  <si>
    <t xml:space="preserve"> 17    18</t>
  </si>
  <si>
    <t>(check)</t>
  </si>
  <si>
    <t>Level 5 - Warrant with product samples and complete supporting data reviewed at supplier's manufacturing location.</t>
  </si>
  <si>
    <t>DECLARATION</t>
  </si>
  <si>
    <t>I affirm that the samples represented by this warrant are representative of our parts and have been made to the applicable customer</t>
  </si>
  <si>
    <t>drawings and specifications and are made from specified materials on regular production tooling with no operations other than the regular</t>
  </si>
  <si>
    <t>production process.  I also certify that documented evidence of such compliance is on file and available for review.</t>
  </si>
  <si>
    <t>EXPLANATION/COMMENTS:</t>
  </si>
  <si>
    <t>List Molds / Cavities / Production Processes</t>
  </si>
  <si>
    <t>Organization Authorized Signature</t>
  </si>
  <si>
    <t>Print Name</t>
  </si>
  <si>
    <t xml:space="preserve">Phone No.  </t>
  </si>
  <si>
    <t xml:space="preserve">Fax  </t>
  </si>
  <si>
    <t xml:space="preserve">E-mail  </t>
  </si>
  <si>
    <t>FOR CUSTOMER USE ONLY</t>
  </si>
  <si>
    <t>Part Warrant Disposition:</t>
  </si>
  <si>
    <t>Comment:</t>
  </si>
  <si>
    <t>Customer Signature</t>
  </si>
  <si>
    <t xml:space="preserve">Date  </t>
  </si>
  <si>
    <t>March</t>
  </si>
  <si>
    <t>THE-1001</t>
  </si>
  <si>
    <t xml:space="preserve">Production Part Approval </t>
  </si>
  <si>
    <t>Dimensional Test Results</t>
  </si>
  <si>
    <t>ORGANIZATION:</t>
  </si>
  <si>
    <t>PART NUMBER:</t>
  </si>
  <si>
    <t>SUPPLIER:</t>
  </si>
  <si>
    <t>PART NAME:</t>
  </si>
  <si>
    <t>DESIGN RECORD CHANGE LEVEL:</t>
  </si>
  <si>
    <t>TEST DATE:</t>
  </si>
  <si>
    <t>NAME OF LABORATORY:</t>
  </si>
  <si>
    <t>ITEM</t>
  </si>
  <si>
    <t>DIMENSION &amp; TOLERANCE / SPECIFICATION</t>
  </si>
  <si>
    <t>QTY. TESTED</t>
  </si>
  <si>
    <t>ORGANIZATION MEASUREMENT RESULTS (DATA)</t>
  </si>
  <si>
    <t>OK</t>
  </si>
  <si>
    <t>NOT OK</t>
  </si>
  <si>
    <t>CUSTOMER MEASUREMENT RESULTS</t>
  </si>
  <si>
    <t>Blanket statements of conformance are unacceptable for any test results</t>
  </si>
  <si>
    <t>Signature</t>
  </si>
  <si>
    <t>CFG-1003</t>
  </si>
  <si>
    <t>Material Test Results</t>
  </si>
  <si>
    <t>SUPPLIER/VENDOR CODE:</t>
  </si>
  <si>
    <t>INSPECTION FACILITY:</t>
  </si>
  <si>
    <t>*CUSTOMER SPECIFIED SUPPLIER/VENDOR CODE:</t>
  </si>
  <si>
    <t>ENGINEERING CHANGE DOCUMENTS:</t>
  </si>
  <si>
    <t>*  If source approval is req'd, include the Supplier (Source) &amp; Customer assigned code.</t>
  </si>
  <si>
    <t>NAME of LABORATORY:</t>
  </si>
  <si>
    <t>MATERIAL SPEC. NO. / REV / DATE</t>
  </si>
  <si>
    <t>SPECIFICATION / LIMITS</t>
  </si>
  <si>
    <t>TEST DATE</t>
  </si>
  <si>
    <t>SUPPLIER TEST RESULTS (DATA)</t>
  </si>
  <si>
    <t>Blanket statements of conformance are unacceptable for any test results.</t>
  </si>
  <si>
    <t>CFG-1004</t>
  </si>
  <si>
    <t>Performance Test Results</t>
  </si>
  <si>
    <t>TEST SPECIFICATION / REV / DATE</t>
  </si>
  <si>
    <t>SUPPLIER TEST RESULTS (DATA) / TEST CONDITIONS</t>
  </si>
  <si>
    <t>CFG-1005</t>
  </si>
  <si>
    <t>CAPACITY EVALUATION and R@R</t>
  </si>
  <si>
    <t>To be used to evaluate capacity of a work center, process, product line, or a plant</t>
  </si>
  <si>
    <t/>
  </si>
  <si>
    <t>(Production data needs to be within the last 30 days)</t>
  </si>
  <si>
    <r>
      <t xml:space="preserve">Number of machines or operators </t>
    </r>
    <r>
      <rPr>
        <family val="2"/>
        <sz val="8"/>
        <rFont val="Arial"/>
      </rPr>
      <t>(use the constraint)</t>
    </r>
  </si>
  <si>
    <t>Machine</t>
  </si>
  <si>
    <t>Process Description</t>
  </si>
  <si>
    <t>Number of shifts in a workday:</t>
  </si>
  <si>
    <r>
      <t xml:space="preserve">Number of hours in a shift </t>
    </r>
    <r>
      <rPr>
        <family val="2"/>
        <sz val="8"/>
        <rFont val="Arial"/>
      </rPr>
      <t>(excluding breaks, etc):</t>
    </r>
  </si>
  <si>
    <t>Number of days in the sample</t>
  </si>
  <si>
    <t>Current Production Requirements / Day</t>
  </si>
  <si>
    <r>
      <t xml:space="preserve">Total Hours Available </t>
    </r>
    <r>
      <rPr>
        <family val="2"/>
        <sz val="8"/>
        <rFont val="Arial"/>
      </rPr>
      <t>(Labor Hrs or Machine Hrs depending on the constraint)</t>
    </r>
  </si>
  <si>
    <t>Total Hours Available / Day</t>
  </si>
  <si>
    <t>Number of Machines / People working</t>
  </si>
  <si>
    <t>Daily Actual Hours Worked</t>
  </si>
  <si>
    <t>Downtime (hours)</t>
  </si>
  <si>
    <t>Number of overtime hours</t>
  </si>
  <si>
    <t>Daily Hrs Worked to Produce Parts</t>
  </si>
  <si>
    <r>
      <t>Utilization (</t>
    </r>
    <r>
      <rPr>
        <family val="2"/>
        <sz val="8"/>
        <rFont val="Arial"/>
      </rPr>
      <t>without overtime</t>
    </r>
    <r>
      <rPr>
        <sz val="10"/>
        <rFont val="Arial"/>
      </rPr>
      <t>)</t>
    </r>
  </si>
  <si>
    <r>
      <t>Utilization (</t>
    </r>
    <r>
      <rPr>
        <family val="2"/>
        <sz val="8"/>
        <rFont val="Arial"/>
      </rPr>
      <t>with overtime</t>
    </r>
    <r>
      <rPr>
        <sz val="10"/>
        <rFont val="Arial"/>
      </rPr>
      <t>)</t>
    </r>
  </si>
  <si>
    <t xml:space="preserve">Downtime % </t>
  </si>
  <si>
    <t>Overtime %</t>
  </si>
  <si>
    <t xml:space="preserve">Number of units produced (including scrap and rework) </t>
  </si>
  <si>
    <t>Number of scrap or rework units produced:</t>
  </si>
  <si>
    <t>Scrap / Rework %</t>
  </si>
  <si>
    <t>Average Units / Hour Worked</t>
  </si>
  <si>
    <t>Average Units / Minute Worked</t>
  </si>
  <si>
    <t>Minutes / Part</t>
  </si>
  <si>
    <t>Standard Hours / Part</t>
  </si>
  <si>
    <t>Standard Hours Produced</t>
  </si>
  <si>
    <t>Efficiency</t>
  </si>
  <si>
    <t>THEORETICAL CAPACITY / DAY (UNITS) =</t>
  </si>
  <si>
    <t>DEMONSTRATED CAPACITY / DAY (UNITS) =</t>
  </si>
  <si>
    <t>RATED CAPACITY / DAY (UNITS) =</t>
  </si>
  <si>
    <t>Current Daily Demand in Units :</t>
  </si>
  <si>
    <t>Sufficient Capacity ?</t>
  </si>
  <si>
    <t>% of Rated Capacity Used</t>
  </si>
  <si>
    <t>WHAT IF SCENARIOS :</t>
  </si>
  <si>
    <t>Additional Business</t>
  </si>
  <si>
    <t>Additional daily units</t>
  </si>
  <si>
    <t>Daily demand</t>
  </si>
  <si>
    <t>Revised Daily Demand with scrap/rework</t>
  </si>
  <si>
    <t>Add An Additional Shift/Resources</t>
  </si>
  <si>
    <t>Number of additional people or machines added (use whatever the constraint is: people or machine)</t>
  </si>
  <si>
    <t>Number of additional shifts</t>
  </si>
  <si>
    <t>Number of extra hours in a shift</t>
  </si>
  <si>
    <t>Number of extra discrete hours</t>
  </si>
  <si>
    <t>Revised Hours Available</t>
  </si>
  <si>
    <t>Revised Rated Capacity Units / Day</t>
  </si>
  <si>
    <t>or hours</t>
  </si>
  <si>
    <t>% of Rated Capacity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</si>
</sst>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_);_(* (#,##0);_(* &quot;-&quot;??_);_(@_)"/>
    <numFmt numFmtId="165" formatCode="m/d/yyyy;@"/>
    <numFmt numFmtId="166" formatCode="0.000"/>
    <numFmt numFmtId="167" formatCode="0.0000"/>
    <numFmt numFmtId="168" formatCode="0.0"/>
    <numFmt numFmtId="169" formatCode="0.0%"/>
    <numFmt numFmtId="170" formatCode="0."/>
    <numFmt numFmtId="171" formatCode="0000"/>
    <numFmt numFmtId="172" formatCode="0.00000"/>
    <numFmt numFmtId="173" formatCode="[&lt;=9999999]###-####;(###) ###-####"/>
    <numFmt numFmtId="174" formatCode="mm/dd/yy;@"/>
    <numFmt numFmtId="175" formatCode="#,##0.0"/>
  </numFmts>
  <fonts count="60" x14ac:knownFonts="1">
    <font>
      <color theme="1"/>
      <family val="2"/>
      <scheme val="minor"/>
      <sz val="11"/>
      <name val="Calibri"/>
    </font>
    <font>
      <sz val="10"/>
      <name val="Arial"/>
    </font>
    <font>
      <family val="1"/>
      <sz val="28"/>
      <name val="Times New Roman"/>
    </font>
    <font>
      <b/>
      <color indexed="8"/>
      <family val="2"/>
      <sz val="28"/>
      <name val="Arial"/>
    </font>
    <font>
      <color indexed="8"/>
      <family val="2"/>
      <sz val="26"/>
      <name val="Arial"/>
    </font>
    <font>
      <color indexed="8"/>
      <family val="2"/>
      <sz val="28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b/>
      <family val="1"/>
      <sz val="14"/>
      <name val="Times New Roman"/>
    </font>
    <font>
      <b/>
      <family val="1"/>
      <sz val="16"/>
      <name val="Times New Roman"/>
    </font>
    <font>
      <b/>
      <sz val="16"/>
      <name val="Arial"/>
    </font>
    <font>
      <u/>
      <family val="1"/>
      <sz val="12"/>
      <name val="Times New Roman"/>
    </font>
    <font>
      <family val="1"/>
      <sz val="12"/>
      <name val="Times New Roman"/>
    </font>
    <font>
      <color indexed="8"/>
      <family val="1"/>
      <sz val="10"/>
      <name val="Times New Roman"/>
    </font>
    <font>
      <color indexed="10"/>
      <family val="1"/>
      <sz val="10"/>
      <name val="Times New Roman"/>
    </font>
    <font>
      <b/>
      <family val="2"/>
      <sz val="36"/>
      <name val="Arial Narrow"/>
    </font>
    <font>
      <b/>
      <family val="2"/>
      <sz val="10"/>
      <name val="Arial Narrow"/>
    </font>
    <font>
      <b/>
      <family val="2"/>
      <sz val="11"/>
      <name val="Arial Narrow"/>
    </font>
    <font>
      <b/>
      <family val="2"/>
      <sz val="8"/>
      <name val="Arial Narrow"/>
    </font>
    <font>
      <b/>
      <color indexed="48"/>
      <family val="2"/>
      <sz val="6"/>
      <name val="Arial Narrow"/>
    </font>
    <font>
      <color indexed="48"/>
      <family val="2"/>
      <sz val="10"/>
      <name val="Arial Narrow"/>
    </font>
    <font>
      <b/>
      <i/>
      <family val="2"/>
      <sz val="10"/>
      <name val="Arial"/>
    </font>
    <font>
      <sz val="8"/>
      <name val="Arial"/>
    </font>
    <font>
      <family val="2"/>
      <sz val="8"/>
      <name val="Arial"/>
    </font>
    <font>
      <color indexed="12"/>
      <sz val="10"/>
      <name val="Arial"/>
    </font>
    <font>
      <b/>
      <color indexed="12"/>
      <family val="2"/>
      <sz val="10"/>
      <name val="Arial"/>
    </font>
    <font>
      <color indexed="12"/>
      <family val="2"/>
      <sz val="10"/>
      <name val="Arial"/>
    </font>
    <font>
      <b/>
      <family val="2"/>
      <sz val="12"/>
      <name val="Arial"/>
    </font>
    <font>
      <sz val="6"/>
      <name val="Arial"/>
    </font>
    <font>
      <family val="2"/>
      <sz val="6"/>
      <name val="Arial"/>
    </font>
    <font>
      <sz val="7"/>
      <name val="Arial"/>
    </font>
    <font>
      <b/>
      <sz val="14"/>
      <name val="Arial"/>
    </font>
    <font>
      <color indexed="8"/>
      <family val="2"/>
      <sz val="10"/>
      <name val="Arial"/>
    </font>
    <font>
      <b/>
      <sz val="10"/>
      <name val="Arial"/>
    </font>
    <font>
      <family val="2"/>
      <sz val="12"/>
      <name val="Arial"/>
    </font>
    <font>
      <b/>
      <family val="2"/>
      <sz val="14"/>
      <name val="Arial"/>
    </font>
    <font>
      <color indexed="12"/>
      <family val="2"/>
      <sz val="8"/>
      <name val="Arial"/>
    </font>
    <font>
      <family val="2"/>
      <sz val="16"/>
      <name val="Arial"/>
    </font>
    <font>
      <b/>
      <color indexed="48"/>
      <family val="2"/>
      <sz val="10"/>
      <name val="Arial"/>
    </font>
    <font>
      <u/>
      <color indexed="16"/>
      <family val="2"/>
      <sz val="9"/>
      <name val="Arial"/>
    </font>
    <font>
      <color indexed="10"/>
      <family val="2"/>
      <sz val="10"/>
      <name val="Arial"/>
    </font>
    <font>
      <b/>
      <sz val="12"/>
      <name val="Arial"/>
    </font>
    <font>
      <sz val="12"/>
      <name val="Statistical Symbols"/>
    </font>
    <font>
      <b/>
      <family val="2"/>
      <sz val="6"/>
      <name val="Small Fonts"/>
    </font>
    <font>
      <i/>
      <sz val="10"/>
      <name val="Arial"/>
    </font>
    <font>
      <i/>
      <color indexed="10"/>
      <family val="2"/>
      <sz val="16"/>
      <name val="Impact"/>
    </font>
    <font>
      <i/>
      <family val="2"/>
      <sz val="7"/>
      <name val="Arial"/>
    </font>
    <font>
      <family val="2"/>
      <sz val="9"/>
      <name val="Arial"/>
    </font>
    <font>
      <vertAlign val="superscript"/>
      <sz val="10"/>
      <name val="Arial"/>
    </font>
    <font>
      <b/>
      <family val="2"/>
      <sz val="9"/>
      <name val="Arial"/>
    </font>
    <font>
      <b/>
      <sz val="8"/>
      <name val="Arial"/>
    </font>
    <font>
      <b/>
      <family val="2"/>
      <sz val="8"/>
      <name val="Arial"/>
    </font>
    <font>
      <b/>
      <sz val="8"/>
      <name val="Helv"/>
    </font>
    <font>
      <b/>
      <family val="2"/>
      <sz val="18"/>
      <name val="Arial"/>
    </font>
    <font>
      <family val="2"/>
      <sz val="7"/>
      <name val="Arial"/>
    </font>
    <font>
      <family val="2"/>
      <sz val="11"/>
      <name val="Arial"/>
    </font>
    <font>
      <u/>
      <sz val="8"/>
      <name val="Arial"/>
    </font>
    <font>
      <u/>
      <sz val="10"/>
      <name val="Arial"/>
    </font>
    <font>
      <b/>
      <color indexed="10"/>
      <family val="2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</fills>
  <borders count="1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 style="double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/>
      <top style="hair">
        <color indexed="8"/>
      </top>
      <bottom/>
      <diagonal/>
    </border>
    <border>
      <left/>
      <right style="double">
        <color indexed="64"/>
      </right>
      <top style="hair">
        <color indexed="8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1">
    <xf numFmtId="0" fontId="0" fillId="0" borderId="0" xfId="0"/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Continuous"/>
    </xf>
    <xf numFmtId="0" fontId="3" fillId="0" borderId="0" xfId="0" applyFont="1"/>
    <xf numFmtId="0" fontId="1" fillId="0" borderId="0" xfId="0" applyFont="1" applyAlignment="1">
      <alignment horizontal="centerContinuous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49" fontId="1" fillId="0" borderId="0" xfId="0" applyNumberFormat="1" applyFont="1"/>
    <xf numFmtId="49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49" fontId="12" fillId="0" borderId="1" xfId="0" applyNumberFormat="1" applyFont="1" applyBorder="1" applyAlignment="1">
      <alignment horizontal="left"/>
    </xf>
    <xf numFmtId="49" fontId="12" fillId="0" borderId="2" xfId="0" applyNumberFormat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8" fillId="0" borderId="5" xfId="0" applyFont="1" applyBorder="1"/>
    <xf numFmtId="49" fontId="12" fillId="0" borderId="6" xfId="0" applyNumberFormat="1" applyFont="1" applyBorder="1" applyAlignment="1">
      <alignment horizontal="left"/>
    </xf>
    <xf numFmtId="49" fontId="12" fillId="0" borderId="0" xfId="0" applyNumberFormat="1" applyFont="1" applyAlignment="1">
      <alignment horizontal="left"/>
    </xf>
    <xf numFmtId="0" fontId="13" fillId="0" borderId="0" xfId="0" applyFont="1"/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49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49" fontId="13" fillId="0" borderId="9" xfId="0" applyNumberFormat="1" applyFont="1" applyBorder="1"/>
    <xf numFmtId="49" fontId="8" fillId="0" borderId="10" xfId="0" applyNumberFormat="1" applyFont="1" applyBorder="1"/>
    <xf numFmtId="0" fontId="8" fillId="0" borderId="11" xfId="0" applyFont="1" applyBorder="1"/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49" fontId="8" fillId="0" borderId="6" xfId="0" applyNumberFormat="1" applyFont="1" applyBorder="1"/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4" xfId="0" applyFont="1" applyBorder="1"/>
    <xf numFmtId="0" fontId="8" fillId="0" borderId="15" xfId="0" applyFont="1" applyBorder="1" applyAlignment="1">
      <alignment vertical="top" wrapText="1"/>
    </xf>
    <xf numFmtId="0" fontId="14" fillId="0" borderId="14" xfId="0" applyFont="1" applyBorder="1" applyAlignment="1">
      <alignment horizontal="center"/>
    </xf>
    <xf numFmtId="0" fontId="15" fillId="0" borderId="15" xfId="0" applyFont="1" applyBorder="1" applyAlignment="1">
      <alignment vertical="top" wrapText="1"/>
    </xf>
    <xf numFmtId="0" fontId="8" fillId="0" borderId="16" xfId="0" applyFont="1" applyBorder="1"/>
    <xf numFmtId="0" fontId="16" fillId="0" borderId="0" xfId="0" applyFont="1" applyAlignment="1">
      <alignment horizontal="left"/>
    </xf>
    <xf numFmtId="0" fontId="17" fillId="0" borderId="14" xfId="0" applyFont="1" applyBorder="1" applyAlignment="1">
      <alignment horizontal="left"/>
    </xf>
    <xf numFmtId="17" fontId="17" fillId="0" borderId="14" xfId="0" applyNumberFormat="1" applyFont="1" applyBorder="1" applyAlignment="1">
      <alignment horizontal="left"/>
    </xf>
    <xf numFmtId="0" fontId="16" fillId="0" borderId="0" xfId="0" applyFont="1" applyAlignment="1">
      <alignment horizontal="center"/>
    </xf>
    <xf numFmtId="0" fontId="18" fillId="0" borderId="0" xfId="0" applyFont="1"/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22" xfId="0" applyFont="1" applyBorder="1" applyAlignment="1">
      <alignment horizontal="center" wrapText="1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20" fillId="0" borderId="25" xfId="0" applyFont="1" applyBorder="1" applyAlignment="1">
      <alignment horizontal="center" wrapText="1"/>
    </xf>
    <xf numFmtId="0" fontId="20" fillId="0" borderId="27" xfId="0" applyFont="1" applyBorder="1" applyAlignment="1">
      <alignment horizontal="center" wrapText="1"/>
    </xf>
    <xf numFmtId="0" fontId="20" fillId="0" borderId="28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19" fillId="0" borderId="27" xfId="0" applyFont="1" applyBorder="1" applyAlignment="1">
      <alignment horizontal="center" wrapText="1"/>
    </xf>
    <xf numFmtId="0" fontId="18" fillId="0" borderId="28" xfId="0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21" fillId="0" borderId="31" xfId="0" applyFont="1" applyBorder="1" applyAlignment="1">
      <alignment horizontal="left" wrapText="1"/>
    </xf>
    <xf numFmtId="0" fontId="21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/>
    </xf>
    <xf numFmtId="164" fontId="21" fillId="0" borderId="33" xfId="0" applyNumberFormat="1" applyFont="1" applyBorder="1" applyAlignment="1">
      <alignment horizontal="center"/>
    </xf>
    <xf numFmtId="0" fontId="21" fillId="0" borderId="34" xfId="0" applyFont="1" applyBorder="1" applyAlignment="1">
      <alignment horizontal="left"/>
    </xf>
    <xf numFmtId="0" fontId="21" fillId="0" borderId="36" xfId="0" applyFont="1" applyBorder="1" applyAlignment="1">
      <alignment horizontal="center"/>
    </xf>
    <xf numFmtId="0" fontId="21" fillId="0" borderId="37" xfId="0" applyFont="1" applyBorder="1" applyAlignment="1">
      <alignment horizontal="left" wrapText="1"/>
    </xf>
    <xf numFmtId="0" fontId="21" fillId="0" borderId="38" xfId="0" applyFont="1" applyBorder="1" applyAlignment="1">
      <alignment horizontal="center"/>
    </xf>
    <xf numFmtId="0" fontId="21" fillId="0" borderId="37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/>
    </xf>
    <xf numFmtId="164" fontId="21" fillId="0" borderId="39" xfId="0" applyNumberFormat="1" applyFont="1" applyBorder="1" applyAlignment="1">
      <alignment horizontal="center"/>
    </xf>
    <xf numFmtId="0" fontId="21" fillId="0" borderId="40" xfId="0" applyFont="1" applyBorder="1" applyAlignment="1">
      <alignment horizontal="left"/>
    </xf>
    <xf numFmtId="0" fontId="21" fillId="0" borderId="37" xfId="0" applyFont="1" applyBorder="1" applyAlignment="1">
      <alignment horizontal="left"/>
    </xf>
    <xf numFmtId="0" fontId="21" fillId="0" borderId="42" xfId="0" applyFont="1" applyBorder="1" applyAlignment="1">
      <alignment horizontal="center"/>
    </xf>
    <xf numFmtId="0" fontId="21" fillId="0" borderId="43" xfId="0" applyFont="1" applyBorder="1" applyAlignment="1">
      <alignment horizontal="left"/>
    </xf>
    <xf numFmtId="0" fontId="21" fillId="0" borderId="44" xfId="0" applyFont="1" applyBorder="1" applyAlignment="1">
      <alignment horizontal="center"/>
    </xf>
    <xf numFmtId="0" fontId="21" fillId="0" borderId="43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/>
    </xf>
    <xf numFmtId="164" fontId="21" fillId="0" borderId="45" xfId="0" applyNumberFormat="1" applyFont="1" applyBorder="1" applyAlignment="1">
      <alignment horizontal="center"/>
    </xf>
    <xf numFmtId="0" fontId="21" fillId="0" borderId="46" xfId="0" applyFont="1" applyBorder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3" fillId="0" borderId="7" xfId="0" applyFont="1" applyBorder="1" applyAlignment="1">
      <alignment horizontal="center"/>
    </xf>
    <xf numFmtId="0" fontId="23" fillId="0" borderId="48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165" fontId="23" fillId="0" borderId="7" xfId="0" applyNumberFormat="1" applyFont="1" applyBorder="1" applyAlignment="1">
      <alignment horizontal="center"/>
    </xf>
    <xf numFmtId="0" fontId="2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5" fontId="23" fillId="0" borderId="48" xfId="0" applyNumberFormat="1" applyFont="1" applyBorder="1" applyAlignment="1">
      <alignment horizontal="center"/>
    </xf>
    <xf numFmtId="0" fontId="24" fillId="0" borderId="49" xfId="0" applyFont="1" applyBorder="1" applyAlignment="1">
      <alignment horizontal="center" vertical="top" wrapText="1"/>
    </xf>
    <xf numFmtId="0" fontId="24" fillId="0" borderId="50" xfId="0" applyFont="1" applyBorder="1" applyAlignment="1">
      <alignment horizontal="center" vertical="top" wrapText="1"/>
    </xf>
    <xf numFmtId="0" fontId="24" fillId="0" borderId="19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top" wrapText="1"/>
    </xf>
    <xf numFmtId="0" fontId="24" fillId="0" borderId="21" xfId="0" applyFont="1" applyBorder="1" applyAlignment="1">
      <alignment horizontal="center" vertical="top" wrapText="1"/>
    </xf>
    <xf numFmtId="0" fontId="24" fillId="0" borderId="50" xfId="0" applyFont="1" applyBorder="1" applyAlignment="1">
      <alignment horizontal="center" vertical="distributed" wrapText="1" textRotation="90"/>
    </xf>
    <xf numFmtId="0" fontId="24" fillId="0" borderId="22" xfId="0" applyFont="1" applyBorder="1" applyAlignment="1">
      <alignment horizontal="center" vertical="distributed" wrapText="1" textRotation="90"/>
    </xf>
    <xf numFmtId="0" fontId="24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24" fillId="0" borderId="52" xfId="0" applyFont="1" applyBorder="1" applyAlignment="1">
      <alignment horizontal="center" vertical="top" wrapText="1"/>
    </xf>
    <xf numFmtId="0" fontId="24" fillId="0" borderId="53" xfId="0" applyFont="1" applyBorder="1" applyAlignment="1">
      <alignment horizontal="center" vertical="top" wrapText="1"/>
    </xf>
    <xf numFmtId="0" fontId="24" fillId="0" borderId="54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0" fontId="24" fillId="0" borderId="55" xfId="0" applyFont="1" applyBorder="1" applyAlignment="1">
      <alignment horizontal="center" vertical="top" wrapText="1"/>
    </xf>
    <xf numFmtId="0" fontId="24" fillId="0" borderId="53" xfId="0" applyFont="1" applyBorder="1" applyAlignment="1">
      <alignment horizontal="center" vertical="distributed" wrapText="1" textRotation="90"/>
    </xf>
    <xf numFmtId="0" fontId="24" fillId="0" borderId="56" xfId="0" applyFont="1" applyBorder="1" applyAlignment="1">
      <alignment horizontal="center" vertical="distributed" wrapText="1" textRotation="90"/>
    </xf>
    <xf numFmtId="0" fontId="24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 textRotation="90"/>
    </xf>
    <xf numFmtId="0" fontId="24" fillId="0" borderId="57" xfId="0" applyFont="1" applyBorder="1" applyAlignment="1">
      <alignment vertical="center" textRotation="90"/>
    </xf>
    <xf numFmtId="0" fontId="23" fillId="0" borderId="27" xfId="0" applyFont="1" applyBorder="1" applyAlignment="1">
      <alignment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6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23" fillId="0" borderId="29" xfId="0" applyFont="1" applyBorder="1" applyAlignment="1">
      <alignment vertical="center" wrapText="1"/>
    </xf>
    <xf numFmtId="0" fontId="23" fillId="0" borderId="50" xfId="0" applyFont="1" applyBorder="1" applyAlignment="1">
      <alignment horizontal="center" vertical="center" wrapText="1"/>
    </xf>
    <xf numFmtId="0" fontId="23" fillId="0" borderId="5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9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60" xfId="0" applyFont="1" applyBorder="1" applyAlignment="1">
      <alignment vertical="center" wrapText="1"/>
    </xf>
    <xf numFmtId="0" fontId="23" fillId="0" borderId="48" xfId="0" applyFont="1" applyBorder="1" applyAlignment="1">
      <alignment vertical="center" wrapText="1"/>
    </xf>
    <xf numFmtId="0" fontId="23" fillId="0" borderId="61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6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0" xfId="0" applyFont="1" applyBorder="1"/>
    <xf numFmtId="0" fontId="26" fillId="0" borderId="0" xfId="0" applyFont="1"/>
    <xf numFmtId="0" fontId="25" fillId="0" borderId="6" xfId="0" applyFont="1" applyBorder="1"/>
    <xf numFmtId="0" fontId="25" fillId="0" borderId="0" xfId="0" applyFont="1"/>
    <xf numFmtId="0" fontId="25" fillId="0" borderId="5" xfId="0" applyFont="1" applyBorder="1"/>
    <xf numFmtId="0" fontId="25" fillId="0" borderId="6" xfId="0" applyFont="1" applyBorder="1" applyAlignment="1">
      <alignment horizontal="left" indent="1"/>
    </xf>
    <xf numFmtId="0" fontId="25" fillId="0" borderId="0" xfId="0" applyFont="1" applyAlignment="1">
      <alignment horizontal="left" indent="1"/>
    </xf>
    <xf numFmtId="0" fontId="25" fillId="0" borderId="5" xfId="0" applyFont="1" applyBorder="1" applyAlignment="1">
      <alignment horizontal="left" indent="1"/>
    </xf>
    <xf numFmtId="0" fontId="25" fillId="0" borderId="6" xfId="0" applyFont="1" applyBorder="1" applyAlignment="1">
      <alignment horizontal="left" wrapText="1" indent="1"/>
    </xf>
    <xf numFmtId="0" fontId="25" fillId="0" borderId="0" xfId="0" applyFont="1" applyAlignment="1">
      <alignment horizontal="left" wrapText="1" indent="1"/>
    </xf>
    <xf numFmtId="0" fontId="25" fillId="0" borderId="5" xfId="0" applyFont="1" applyBorder="1" applyAlignment="1">
      <alignment horizontal="left" wrapText="1" indent="1"/>
    </xf>
    <xf numFmtId="3" fontId="27" fillId="0" borderId="0" xfId="0" applyNumberFormat="1" applyFont="1"/>
    <xf numFmtId="4" fontId="27" fillId="0" borderId="0" xfId="0" applyNumberFormat="1" applyFont="1"/>
    <xf numFmtId="4" fontId="25" fillId="0" borderId="0" xfId="0" applyNumberFormat="1" applyFont="1"/>
    <xf numFmtId="0" fontId="25" fillId="0" borderId="10" xfId="0" applyFont="1" applyBorder="1" applyAlignment="1">
      <alignment horizontal="left" indent="1"/>
    </xf>
    <xf numFmtId="0" fontId="25" fillId="0" borderId="11" xfId="0" applyFont="1" applyBorder="1" applyAlignment="1">
      <alignment horizontal="left" indent="1"/>
    </xf>
    <xf numFmtId="0" fontId="25" fillId="0" borderId="16" xfId="0" applyFont="1" applyBorder="1" applyAlignment="1">
      <alignment horizontal="left" indent="1"/>
    </xf>
    <xf numFmtId="0" fontId="25" fillId="0" borderId="10" xfId="0" applyFont="1" applyBorder="1" applyAlignment="1">
      <alignment horizontal="left" wrapText="1" indent="1"/>
    </xf>
    <xf numFmtId="0" fontId="25" fillId="0" borderId="11" xfId="0" applyFont="1" applyBorder="1" applyAlignment="1">
      <alignment horizontal="left" wrapText="1" indent="1"/>
    </xf>
    <xf numFmtId="0" fontId="25" fillId="0" borderId="16" xfId="0" applyFont="1" applyBorder="1" applyAlignment="1">
      <alignment horizontal="left" wrapText="1" indent="1"/>
    </xf>
    <xf numFmtId="0" fontId="25" fillId="0" borderId="1" xfId="0" applyFont="1" applyBorder="1" applyAlignment="1">
      <alignment horizontal="center" vertical="top" wrapText="1"/>
    </xf>
    <xf numFmtId="0" fontId="25" fillId="0" borderId="2" xfId="0" applyFont="1" applyBorder="1" applyAlignment="1">
      <alignment horizontal="center" vertical="top" wrapText="1"/>
    </xf>
    <xf numFmtId="0" fontId="25" fillId="0" borderId="20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6" xfId="0" applyFont="1" applyBorder="1" applyAlignment="1" applyProtection="1">
      <alignment horizontal="left" indent="1"/>
      <protection locked="0"/>
    </xf>
    <xf numFmtId="0" fontId="25" fillId="0" borderId="0" xfId="0" applyFont="1" applyAlignment="1" applyProtection="1">
      <alignment horizontal="left" indent="1"/>
      <protection locked="0"/>
    </xf>
    <xf numFmtId="0" fontId="25" fillId="0" borderId="5" xfId="0" applyFont="1" applyBorder="1" applyAlignment="1" applyProtection="1">
      <alignment horizontal="left" indent="1"/>
      <protection locked="0"/>
    </xf>
    <xf numFmtId="0" fontId="25" fillId="0" borderId="6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5" fillId="0" borderId="10" xfId="0" applyFont="1" applyBorder="1" applyProtection="1">
      <protection locked="0"/>
    </xf>
    <xf numFmtId="0" fontId="25" fillId="0" borderId="11" xfId="0" applyFont="1" applyBorder="1"/>
    <xf numFmtId="0" fontId="25" fillId="0" borderId="16" xfId="0" applyFont="1" applyBorder="1"/>
    <xf numFmtId="0" fontId="25" fillId="0" borderId="10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5" fillId="0" borderId="16" xfId="0" applyFont="1" applyBorder="1" applyAlignment="1">
      <alignment horizontal="left"/>
    </xf>
    <xf numFmtId="0" fontId="26" fillId="0" borderId="0" xfId="0" applyFont="1" applyAlignment="1">
      <alignment horizontal="center"/>
    </xf>
    <xf numFmtId="0" fontId="25" fillId="0" borderId="0" xfId="0" applyFont="1" applyAlignment="1" applyProtection="1">
      <alignment horizontal="right"/>
      <protection locked="0"/>
    </xf>
    <xf numFmtId="3" fontId="25" fillId="0" borderId="0" xfId="0" applyNumberFormat="1" applyFont="1" applyProtection="1">
      <protection locked="0"/>
    </xf>
    <xf numFmtId="0" fontId="25" fillId="0" borderId="0" xfId="0" applyFont="1" applyProtection="1">
      <protection locked="0"/>
    </xf>
    <xf numFmtId="2" fontId="25" fillId="0" borderId="0" xfId="0" applyNumberFormat="1" applyFont="1" applyProtection="1">
      <protection locked="0"/>
    </xf>
    <xf numFmtId="0" fontId="28" fillId="0" borderId="11" xfId="0" applyFont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0" fontId="29" fillId="2" borderId="2" xfId="0" applyFont="1" applyFill="1" applyBorder="1" applyAlignment="1">
      <alignment horizontal="left"/>
    </xf>
    <xf numFmtId="0" fontId="29" fillId="2" borderId="20" xfId="0" applyFont="1" applyFill="1" applyBorder="1" applyAlignment="1">
      <alignment horizontal="left"/>
    </xf>
    <xf numFmtId="0" fontId="30" fillId="2" borderId="1" xfId="0" applyFont="1" applyFill="1" applyBorder="1" applyAlignment="1">
      <alignment vertical="center"/>
    </xf>
    <xf numFmtId="0" fontId="30" fillId="2" borderId="2" xfId="0" applyFont="1" applyFill="1" applyBorder="1" applyAlignment="1">
      <alignment vertical="center"/>
    </xf>
    <xf numFmtId="0" fontId="30" fillId="2" borderId="20" xfId="0" applyFont="1" applyFill="1" applyBorder="1" applyAlignment="1">
      <alignment vertical="center"/>
    </xf>
    <xf numFmtId="0" fontId="29" fillId="0" borderId="10" xfId="0" applyFont="1" applyBorder="1" applyAlignment="1">
      <alignment horizontal="left"/>
    </xf>
    <xf numFmtId="0" fontId="29" fillId="0" borderId="11" xfId="0" applyFont="1" applyBorder="1" applyAlignment="1">
      <alignment horizontal="left"/>
    </xf>
    <xf numFmtId="0" fontId="29" fillId="0" borderId="16" xfId="0" applyFont="1" applyBorder="1" applyAlignment="1">
      <alignment horizontal="left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29" fillId="2" borderId="1" xfId="0" applyFont="1" applyFill="1" applyBorder="1"/>
    <xf numFmtId="0" fontId="29" fillId="2" borderId="2" xfId="0" applyFont="1" applyFill="1" applyBorder="1"/>
    <xf numFmtId="0" fontId="29" fillId="2" borderId="20" xfId="0" applyFont="1" applyFill="1" applyBorder="1"/>
    <xf numFmtId="0" fontId="23" fillId="3" borderId="10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23" fillId="0" borderId="49" xfId="0" applyFont="1" applyBorder="1" applyAlignment="1">
      <alignment horizontal="center" vertical="top" wrapText="1"/>
    </xf>
    <xf numFmtId="0" fontId="23" fillId="0" borderId="50" xfId="0" applyFont="1" applyBorder="1" applyAlignment="1">
      <alignment horizontal="center" vertical="top" wrapText="1"/>
    </xf>
    <xf numFmtId="0" fontId="23" fillId="0" borderId="51" xfId="0" applyFont="1" applyBorder="1" applyAlignment="1">
      <alignment horizontal="center" vertical="top" wrapText="1"/>
    </xf>
    <xf numFmtId="0" fontId="23" fillId="0" borderId="62" xfId="0" applyFont="1" applyBorder="1" applyAlignment="1">
      <alignment horizontal="center" vertical="top" wrapText="1"/>
    </xf>
    <xf numFmtId="0" fontId="23" fillId="0" borderId="14" xfId="0" applyFont="1" applyBorder="1" applyAlignment="1">
      <alignment horizontal="center" vertical="top" wrapText="1"/>
    </xf>
    <xf numFmtId="0" fontId="31" fillId="0" borderId="14" xfId="0" applyFont="1" applyBorder="1" applyAlignment="1">
      <alignment horizontal="center" vertical="top" wrapText="1"/>
    </xf>
    <xf numFmtId="0" fontId="23" fillId="0" borderId="14" xfId="0" applyFont="1" applyBorder="1" applyAlignment="1">
      <alignment horizontal="center"/>
    </xf>
    <xf numFmtId="0" fontId="23" fillId="0" borderId="15" xfId="0" applyFont="1" applyBorder="1" applyAlignment="1">
      <alignment horizontal="center" vertical="top" wrapText="1"/>
    </xf>
    <xf numFmtId="0" fontId="23" fillId="0" borderId="52" xfId="0" applyFont="1" applyBorder="1" applyAlignment="1">
      <alignment horizontal="center" vertical="top" wrapText="1"/>
    </xf>
    <xf numFmtId="0" fontId="23" fillId="0" borderId="53" xfId="0" applyFont="1" applyBorder="1" applyAlignment="1">
      <alignment horizontal="center" vertical="top" wrapText="1"/>
    </xf>
    <xf numFmtId="0" fontId="31" fillId="0" borderId="53" xfId="0" applyFont="1" applyBorder="1" applyAlignment="1">
      <alignment horizontal="center" vertical="top" wrapText="1"/>
    </xf>
    <xf numFmtId="0" fontId="23" fillId="0" borderId="57" xfId="0" applyFont="1" applyBorder="1" applyAlignment="1">
      <alignment horizontal="center" vertical="top" wrapText="1"/>
    </xf>
    <xf numFmtId="0" fontId="1" fillId="0" borderId="27" xfId="0" applyFont="1" applyBorder="1" applyAlignment="1">
      <alignment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32" fillId="0" borderId="0" xfId="0" applyFont="1" applyAlignment="1">
      <alignment horizontal="centerContinuous"/>
    </xf>
    <xf numFmtId="0" fontId="24" fillId="0" borderId="63" xfId="0" applyFont="1" applyBorder="1"/>
    <xf numFmtId="0" fontId="24" fillId="0" borderId="64" xfId="0" applyFont="1" applyBorder="1"/>
    <xf numFmtId="0" fontId="24" fillId="0" borderId="65" xfId="0" applyFont="1" applyBorder="1"/>
    <xf numFmtId="0" fontId="24" fillId="0" borderId="0" xfId="0" applyFont="1"/>
    <xf numFmtId="0" fontId="33" fillId="0" borderId="26" xfId="0" applyFont="1" applyBorder="1"/>
    <xf numFmtId="0" fontId="27" fillId="0" borderId="7" xfId="0" applyFont="1" applyBorder="1"/>
    <xf numFmtId="0" fontId="27" fillId="0" borderId="29" xfId="0" applyFont="1" applyBorder="1"/>
    <xf numFmtId="0" fontId="27" fillId="0" borderId="26" xfId="0" applyFont="1" applyBorder="1" applyProtection="1">
      <protection locked="0"/>
    </xf>
    <xf numFmtId="0" fontId="27" fillId="0" borderId="0" xfId="0" applyFont="1"/>
    <xf numFmtId="0" fontId="24" fillId="0" borderId="63" xfId="0" applyFont="1" applyBorder="1" applyProtection="1">
      <protection locked="0"/>
    </xf>
    <xf numFmtId="0" fontId="24" fillId="0" borderId="64" xfId="0" applyFont="1" applyBorder="1" applyProtection="1">
      <protection locked="0"/>
    </xf>
    <xf numFmtId="0" fontId="24" fillId="0" borderId="65" xfId="0" applyFont="1" applyBorder="1" applyProtection="1">
      <protection locked="0"/>
    </xf>
    <xf numFmtId="0" fontId="27" fillId="0" borderId="7" xfId="0" applyFont="1" applyBorder="1" applyProtection="1">
      <protection locked="0"/>
    </xf>
    <xf numFmtId="0" fontId="27" fillId="0" borderId="29" xfId="0" applyFont="1" applyBorder="1" applyProtection="1">
      <protection locked="0"/>
    </xf>
    <xf numFmtId="166" fontId="27" fillId="0" borderId="26" xfId="0" applyNumberFormat="1" applyFont="1" applyBorder="1" applyAlignment="1" applyProtection="1">
      <alignment horizontal="centerContinuous"/>
      <protection locked="0"/>
    </xf>
    <xf numFmtId="166" fontId="27" fillId="0" borderId="29" xfId="0" applyNumberFormat="1" applyFont="1" applyBorder="1" applyAlignment="1">
      <alignment horizontal="centerContinuous"/>
    </xf>
    <xf numFmtId="166" fontId="27" fillId="0" borderId="7" xfId="0" applyNumberFormat="1" applyFont="1" applyBorder="1" applyAlignment="1" applyProtection="1">
      <alignment horizontal="centerContinuous"/>
      <protection locked="0"/>
    </xf>
    <xf numFmtId="0" fontId="27" fillId="0" borderId="29" xfId="0" applyFont="1" applyBorder="1" applyAlignment="1">
      <alignment horizontal="centerContinuous"/>
    </xf>
    <xf numFmtId="0" fontId="34" fillId="0" borderId="63" xfId="0" applyFont="1" applyBorder="1" applyAlignment="1">
      <alignment horizontal="centerContinuous"/>
    </xf>
    <xf numFmtId="0" fontId="34" fillId="0" borderId="64" xfId="0" applyFont="1" applyBorder="1" applyAlignment="1">
      <alignment horizontal="centerContinuous"/>
    </xf>
    <xf numFmtId="0" fontId="34" fillId="0" borderId="65" xfId="0" applyFont="1" applyBorder="1" applyAlignment="1">
      <alignment horizontal="centerContinuous"/>
    </xf>
    <xf numFmtId="0" fontId="1" fillId="0" borderId="0" xfId="0" applyFont="1" applyProtection="1">
      <protection locked="0"/>
    </xf>
    <xf numFmtId="0" fontId="1" fillId="0" borderId="14" xfId="0" applyFont="1" applyBorder="1" applyAlignment="1">
      <alignment horizontal="center"/>
    </xf>
    <xf numFmtId="167" fontId="27" fillId="0" borderId="14" xfId="0" applyNumberFormat="1" applyFont="1" applyBorder="1" applyAlignment="1" applyProtection="1">
      <alignment horizontal="center"/>
      <protection locked="0"/>
    </xf>
    <xf numFmtId="0" fontId="27" fillId="0" borderId="14" xfId="0" applyFont="1" applyBorder="1" applyAlignment="1" applyProtection="1">
      <alignment horizontal="center"/>
      <protection locked="0"/>
    </xf>
    <xf numFmtId="166" fontId="1" fillId="0" borderId="14" xfId="0" applyNumberFormat="1" applyFont="1" applyBorder="1" applyAlignment="1" applyProtection="1">
      <alignment horizontal="center"/>
      <protection locked="0"/>
    </xf>
    <xf numFmtId="166" fontId="1" fillId="0" borderId="0" xfId="0" applyNumberFormat="1" applyFont="1" applyAlignment="1" applyProtection="1">
      <alignment horizontal="center"/>
      <protection locked="0"/>
    </xf>
    <xf numFmtId="0" fontId="28" fillId="0" borderId="60" xfId="0" applyFont="1" applyBorder="1" applyAlignment="1">
      <alignment horizontal="centerContinuous"/>
    </xf>
    <xf numFmtId="0" fontId="24" fillId="0" borderId="48" xfId="0" applyFont="1" applyBorder="1" applyAlignment="1">
      <alignment horizontal="centerContinuous"/>
    </xf>
    <xf numFmtId="0" fontId="28" fillId="0" borderId="48" xfId="0" applyFont="1" applyBorder="1" applyAlignment="1">
      <alignment horizontal="centerContinuous"/>
    </xf>
    <xf numFmtId="166" fontId="1" fillId="0" borderId="48" xfId="0" applyNumberFormat="1" applyFont="1" applyBorder="1" applyAlignment="1">
      <alignment horizontal="centerContinuous"/>
    </xf>
    <xf numFmtId="0" fontId="1" fillId="0" borderId="48" xfId="0" applyFont="1" applyBorder="1" applyAlignment="1">
      <alignment horizontal="centerContinuous"/>
    </xf>
    <xf numFmtId="0" fontId="1" fillId="0" borderId="61" xfId="0" applyFont="1" applyBorder="1" applyAlignment="1">
      <alignment horizontal="centerContinuous"/>
    </xf>
    <xf numFmtId="0" fontId="34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6" xfId="0" applyFont="1" applyBorder="1" applyAlignment="1">
      <alignment horizontal="center"/>
    </xf>
    <xf numFmtId="0" fontId="1" fillId="0" borderId="66" xfId="0" applyFont="1" applyBorder="1" applyAlignment="1">
      <alignment horizontal="right"/>
    </xf>
    <xf numFmtId="0" fontId="1" fillId="0" borderId="67" xfId="0" applyFont="1" applyBorder="1"/>
    <xf numFmtId="0" fontId="1" fillId="0" borderId="66" xfId="0" applyFont="1" applyBorder="1"/>
    <xf numFmtId="167" fontId="1" fillId="0" borderId="0" xfId="0" applyNumberFormat="1" applyFont="1" applyAlignment="1">
      <alignment horizontal="left"/>
    </xf>
    <xf numFmtId="0" fontId="1" fillId="0" borderId="26" xfId="0" applyFont="1" applyBorder="1"/>
    <xf numFmtId="0" fontId="1" fillId="0" borderId="7" xfId="0" applyFont="1" applyBorder="1" applyAlignment="1">
      <alignment horizontal="center"/>
    </xf>
    <xf numFmtId="166" fontId="1" fillId="0" borderId="7" xfId="0" applyNumberFormat="1" applyFont="1" applyBorder="1" applyAlignment="1">
      <alignment horizontal="left"/>
    </xf>
    <xf numFmtId="0" fontId="1" fillId="0" borderId="7" xfId="0" applyFont="1" applyBorder="1"/>
    <xf numFmtId="0" fontId="1" fillId="0" borderId="29" xfId="0" applyFont="1" applyBorder="1"/>
    <xf numFmtId="166" fontId="1" fillId="0" borderId="0" xfId="0" applyNumberFormat="1" applyFont="1" applyAlignment="1">
      <alignment horizontal="left"/>
    </xf>
    <xf numFmtId="0" fontId="34" fillId="0" borderId="66" xfId="0" applyFont="1" applyBorder="1"/>
    <xf numFmtId="0" fontId="35" fillId="0" borderId="0" xfId="0" applyFont="1"/>
    <xf numFmtId="0" fontId="1" fillId="0" borderId="7" xfId="0" applyFont="1" applyBorder="1" applyProtection="1">
      <protection locked="0"/>
    </xf>
    <xf numFmtId="0" fontId="1" fillId="0" borderId="0" xfId="0" applyFont="1" applyAlignment="1" applyProtection="1">
      <alignment horizontal="centerContinuous"/>
      <protection locked="0"/>
    </xf>
    <xf numFmtId="0" fontId="28" fillId="0" borderId="0" xfId="0" applyFont="1"/>
    <xf numFmtId="0" fontId="1" fillId="0" borderId="63" xfId="0" applyFont="1" applyBorder="1"/>
    <xf numFmtId="0" fontId="36" fillId="0" borderId="0" xfId="0" applyFont="1"/>
    <xf numFmtId="0" fontId="32" fillId="0" borderId="0" xfId="0" applyFont="1" applyAlignment="1">
      <alignment horizontal="center"/>
    </xf>
    <xf numFmtId="0" fontId="33" fillId="0" borderId="26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29" xfId="0" applyFont="1" applyBorder="1" applyAlignment="1">
      <alignment horizontal="center"/>
    </xf>
    <xf numFmtId="0" fontId="27" fillId="0" borderId="26" xfId="0" applyFont="1" applyBorder="1" applyAlignment="1" applyProtection="1">
      <alignment horizontal="center"/>
      <protection locked="0"/>
    </xf>
    <xf numFmtId="0" fontId="27" fillId="0" borderId="7" xfId="0" applyFont="1" applyBorder="1" applyAlignment="1" applyProtection="1">
      <alignment horizontal="center"/>
      <protection locked="0"/>
    </xf>
    <xf numFmtId="0" fontId="27" fillId="0" borderId="29" xfId="0" applyFont="1" applyBorder="1" applyAlignment="1" applyProtection="1">
      <alignment horizontal="center"/>
      <protection locked="0"/>
    </xf>
    <xf numFmtId="0" fontId="37" fillId="0" borderId="0" xfId="0" applyFont="1"/>
    <xf numFmtId="0" fontId="27" fillId="0" borderId="2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0" borderId="0" xfId="0" applyFont="1" applyProtection="1">
      <protection locked="0"/>
    </xf>
    <xf numFmtId="0" fontId="27" fillId="0" borderId="0" xfId="0" applyFont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64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8" fillId="0" borderId="0" xfId="0" applyFont="1"/>
    <xf numFmtId="0" fontId="28" fillId="0" borderId="0" xfId="0" applyFont="1" applyAlignment="1">
      <alignment horizontal="center"/>
    </xf>
    <xf numFmtId="0" fontId="7" fillId="0" borderId="6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/>
    </xf>
    <xf numFmtId="0" fontId="1" fillId="0" borderId="63" xfId="0" applyFont="1" applyBorder="1" applyAlignment="1">
      <alignment horizontal="left"/>
    </xf>
    <xf numFmtId="0" fontId="1" fillId="0" borderId="64" xfId="0" applyFont="1" applyBorder="1" applyAlignment="1">
      <alignment horizontal="left"/>
    </xf>
    <xf numFmtId="0" fontId="1" fillId="0" borderId="65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1" fillId="0" borderId="29" xfId="0" applyFont="1" applyBorder="1" applyAlignment="1">
      <alignment horizontal="center"/>
    </xf>
    <xf numFmtId="168" fontId="1" fillId="0" borderId="26" xfId="0" applyNumberFormat="1" applyFont="1" applyBorder="1" applyAlignment="1">
      <alignment horizontal="center"/>
    </xf>
    <xf numFmtId="168" fontId="1" fillId="0" borderId="29" xfId="0" applyNumberFormat="1" applyFont="1" applyBorder="1" applyAlignment="1">
      <alignment horizontal="center"/>
    </xf>
    <xf numFmtId="168" fontId="1" fillId="0" borderId="27" xfId="0" applyNumberFormat="1" applyFont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0" fontId="7" fillId="0" borderId="63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20" xfId="0" applyFont="1" applyBorder="1"/>
    <xf numFmtId="20" fontId="7" fillId="0" borderId="6" xfId="0" applyNumberFormat="1" applyFont="1" applyBorder="1"/>
    <xf numFmtId="0" fontId="1" fillId="0" borderId="5" xfId="0" applyFont="1" applyBorder="1"/>
    <xf numFmtId="0" fontId="7" fillId="0" borderId="6" xfId="0" applyFont="1" applyBorder="1"/>
    <xf numFmtId="0" fontId="1" fillId="0" borderId="6" xfId="0" applyFont="1" applyBorder="1"/>
    <xf numFmtId="0" fontId="7" fillId="4" borderId="0" xfId="0" applyFont="1" applyFill="1"/>
    <xf numFmtId="0" fontId="1" fillId="4" borderId="0" xfId="0" applyFont="1" applyFill="1"/>
    <xf numFmtId="0" fontId="39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6" xfId="0" applyFont="1" applyBorder="1"/>
    <xf numFmtId="0" fontId="32" fillId="5" borderId="0" xfId="0" applyFont="1" applyFill="1" applyAlignment="1">
      <alignment horizontal="center"/>
    </xf>
    <xf numFmtId="0" fontId="32" fillId="5" borderId="66" xfId="0" applyFont="1" applyFill="1" applyBorder="1" applyAlignment="1">
      <alignment horizontal="center"/>
    </xf>
    <xf numFmtId="0" fontId="40" fillId="0" borderId="0" xfId="0" applyFont="1" applyAlignment="1">
      <alignment horizontal="center" vertical="center"/>
    </xf>
    <xf numFmtId="0" fontId="6" fillId="0" borderId="1" xfId="0" applyFont="1" applyBorder="1"/>
    <xf numFmtId="0" fontId="24" fillId="0" borderId="2" xfId="0" applyFont="1" applyBorder="1"/>
    <xf numFmtId="0" fontId="6" fillId="0" borderId="2" xfId="0" applyFont="1" applyBorder="1"/>
    <xf numFmtId="0" fontId="6" fillId="0" borderId="20" xfId="0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20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33" fillId="4" borderId="10" xfId="0" applyFont="1" applyFill="1" applyBorder="1" applyAlignment="1" applyProtection="1">
      <alignment horizontal="center"/>
      <protection locked="0"/>
    </xf>
    <xf numFmtId="0" fontId="33" fillId="4" borderId="11" xfId="0" applyFont="1" applyFill="1" applyBorder="1" applyAlignment="1" applyProtection="1">
      <alignment horizontal="center"/>
      <protection locked="0"/>
    </xf>
    <xf numFmtId="0" fontId="33" fillId="4" borderId="16" xfId="0" applyFont="1" applyFill="1" applyBorder="1" applyAlignment="1" applyProtection="1">
      <alignment horizontal="center"/>
      <protection locked="0"/>
    </xf>
    <xf numFmtId="0" fontId="27" fillId="0" borderId="10" xfId="0" applyFont="1" applyBorder="1" applyProtection="1">
      <protection locked="0"/>
    </xf>
    <xf numFmtId="0" fontId="27" fillId="0" borderId="16" xfId="0" applyFont="1" applyBorder="1"/>
    <xf numFmtId="0" fontId="27" fillId="0" borderId="10" xfId="0" applyFont="1" applyBorder="1"/>
    <xf numFmtId="0" fontId="27" fillId="0" borderId="11" xfId="0" applyFont="1" applyBorder="1"/>
    <xf numFmtId="0" fontId="33" fillId="0" borderId="1" xfId="0" applyFont="1" applyBorder="1" applyAlignment="1">
      <alignment horizontal="left"/>
    </xf>
    <xf numFmtId="0" fontId="33" fillId="0" borderId="2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33" fillId="4" borderId="10" xfId="0" applyFont="1" applyFill="1" applyBorder="1" applyAlignment="1">
      <alignment horizontal="center"/>
    </xf>
    <xf numFmtId="0" fontId="33" fillId="4" borderId="1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6" fillId="0" borderId="0" xfId="0" applyFont="1" applyAlignment="1">
      <alignment horizontal="centerContinuous"/>
    </xf>
    <xf numFmtId="15" fontId="27" fillId="4" borderId="10" xfId="0" applyNumberFormat="1" applyFont="1" applyFill="1" applyBorder="1" applyAlignment="1" applyProtection="1">
      <alignment horizontal="center"/>
      <protection locked="0"/>
    </xf>
    <xf numFmtId="15" fontId="27" fillId="4" borderId="11" xfId="0" applyNumberFormat="1" applyFont="1" applyFill="1" applyBorder="1" applyAlignment="1" applyProtection="1">
      <alignment horizontal="center"/>
      <protection locked="0"/>
    </xf>
    <xf numFmtId="15" fontId="27" fillId="4" borderId="16" xfId="0" applyNumberFormat="1" applyFont="1" applyFill="1" applyBorder="1" applyAlignment="1" applyProtection="1">
      <alignment horizontal="center"/>
      <protection locked="0"/>
    </xf>
    <xf numFmtId="0" fontId="41" fillId="0" borderId="0" xfId="0" applyFont="1"/>
    <xf numFmtId="0" fontId="34" fillId="6" borderId="63" xfId="0" applyFont="1" applyFill="1" applyBorder="1"/>
    <xf numFmtId="0" fontId="1" fillId="6" borderId="65" xfId="0" applyFont="1" applyFill="1" applyBorder="1"/>
    <xf numFmtId="0" fontId="34" fillId="6" borderId="60" xfId="0" applyFont="1" applyFill="1" applyBorder="1" applyAlignment="1">
      <alignment horizontal="centerContinuous"/>
    </xf>
    <xf numFmtId="0" fontId="34" fillId="6" borderId="48" xfId="0" applyFont="1" applyFill="1" applyBorder="1" applyAlignment="1">
      <alignment horizontal="centerContinuous"/>
    </xf>
    <xf numFmtId="0" fontId="34" fillId="6" borderId="61" xfId="0" applyFont="1" applyFill="1" applyBorder="1" applyAlignment="1">
      <alignment horizontal="centerContinuous"/>
    </xf>
    <xf numFmtId="0" fontId="34" fillId="6" borderId="63" xfId="0" applyFont="1" applyFill="1" applyBorder="1" applyAlignment="1">
      <alignment horizontal="centerContinuous"/>
    </xf>
    <xf numFmtId="0" fontId="1" fillId="6" borderId="65" xfId="0" applyFont="1" applyFill="1" applyBorder="1" applyAlignment="1">
      <alignment horizontal="centerContinuous"/>
    </xf>
    <xf numFmtId="0" fontId="24" fillId="6" borderId="60" xfId="0" applyFont="1" applyFill="1" applyBorder="1"/>
    <xf numFmtId="0" fontId="24" fillId="6" borderId="48" xfId="0" applyFont="1" applyFill="1" applyBorder="1"/>
    <xf numFmtId="0" fontId="28" fillId="6" borderId="48" xfId="0" applyFont="1" applyFill="1" applyBorder="1" applyAlignment="1">
      <alignment horizontal="center"/>
    </xf>
    <xf numFmtId="0" fontId="24" fillId="6" borderId="61" xfId="0" applyFont="1" applyFill="1" applyBorder="1"/>
    <xf numFmtId="0" fontId="42" fillId="6" borderId="60" xfId="0" applyFont="1" applyFill="1" applyBorder="1" applyAlignment="1">
      <alignment horizontal="centerContinuous"/>
    </xf>
    <xf numFmtId="0" fontId="42" fillId="6" borderId="48" xfId="0" applyFont="1" applyFill="1" applyBorder="1" applyAlignment="1">
      <alignment horizontal="centerContinuous"/>
    </xf>
    <xf numFmtId="0" fontId="1" fillId="6" borderId="48" xfId="0" applyFont="1" applyFill="1" applyBorder="1" applyAlignment="1">
      <alignment horizontal="centerContinuous"/>
    </xf>
    <xf numFmtId="0" fontId="1" fillId="6" borderId="61" xfId="0" applyFont="1" applyFill="1" applyBorder="1" applyAlignment="1">
      <alignment horizontal="centerContinuous"/>
    </xf>
    <xf numFmtId="0" fontId="34" fillId="6" borderId="26" xfId="0" applyFont="1" applyFill="1" applyBorder="1"/>
    <xf numFmtId="0" fontId="1" fillId="6" borderId="29" xfId="0" applyFont="1" applyFill="1" applyBorder="1"/>
    <xf numFmtId="0" fontId="34" fillId="6" borderId="14" xfId="0" applyFont="1" applyFill="1" applyBorder="1" applyAlignment="1">
      <alignment horizontal="center"/>
    </xf>
    <xf numFmtId="0" fontId="1" fillId="6" borderId="26" xfId="0" applyFont="1" applyFill="1" applyBorder="1"/>
    <xf numFmtId="0" fontId="1" fillId="0" borderId="69" xfId="0" applyFont="1" applyBorder="1"/>
    <xf numFmtId="0" fontId="1" fillId="6" borderId="59" xfId="0" applyFont="1" applyFill="1" applyBorder="1" applyAlignment="1">
      <alignment horizontal="center"/>
    </xf>
    <xf numFmtId="2" fontId="27" fillId="4" borderId="50" xfId="0" applyNumberFormat="1" applyFont="1" applyFill="1" applyBorder="1" applyAlignment="1" applyProtection="1">
      <alignment horizontal="center"/>
      <protection locked="0"/>
    </xf>
    <xf numFmtId="0" fontId="1" fillId="0" borderId="3" xfId="0" applyFont="1" applyBorder="1"/>
    <xf numFmtId="166" fontId="1" fillId="0" borderId="4" xfId="0" applyNumberFormat="1" applyFont="1" applyBorder="1" applyAlignment="1">
      <alignment horizontal="center"/>
    </xf>
    <xf numFmtId="0" fontId="43" fillId="0" borderId="0" xfId="0" applyFont="1"/>
    <xf numFmtId="0" fontId="34" fillId="0" borderId="14" xfId="0" applyFont="1" applyBorder="1" applyAlignment="1">
      <alignment horizontal="center"/>
    </xf>
    <xf numFmtId="0" fontId="34" fillId="0" borderId="61" xfId="0" applyFont="1" applyBorder="1" applyAlignment="1">
      <alignment horizontal="center"/>
    </xf>
    <xf numFmtId="170" fontId="1" fillId="0" borderId="70" xfId="0" applyNumberFormat="1" applyFont="1" applyBorder="1" applyAlignment="1">
      <alignment horizontal="left"/>
    </xf>
    <xf numFmtId="0" fontId="1" fillId="6" borderId="61" xfId="0" applyFont="1" applyFill="1" applyBorder="1" applyAlignment="1">
      <alignment horizontal="center"/>
    </xf>
    <xf numFmtId="2" fontId="27" fillId="4" borderId="14" xfId="0" applyNumberFormat="1" applyFont="1" applyFill="1" applyBorder="1" applyAlignment="1" applyProtection="1">
      <alignment horizontal="center"/>
      <protection locked="0"/>
    </xf>
    <xf numFmtId="166" fontId="1" fillId="0" borderId="8" xfId="0" applyNumberFormat="1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170" fontId="1" fillId="0" borderId="9" xfId="0" applyNumberFormat="1" applyFont="1" applyBorder="1" applyAlignment="1">
      <alignment horizontal="left"/>
    </xf>
    <xf numFmtId="0" fontId="1" fillId="6" borderId="29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2" fontId="1" fillId="0" borderId="72" xfId="0" applyNumberFormat="1" applyFont="1" applyBorder="1" applyAlignment="1">
      <alignment horizontal="left"/>
    </xf>
    <xf numFmtId="2" fontId="1" fillId="0" borderId="14" xfId="0" applyNumberFormat="1" applyFont="1" applyBorder="1" applyAlignment="1">
      <alignment horizontal="center"/>
    </xf>
    <xf numFmtId="0" fontId="43" fillId="0" borderId="26" xfId="0" applyFont="1" applyBorder="1" applyAlignment="1">
      <alignment horizontal="center"/>
    </xf>
    <xf numFmtId="170" fontId="1" fillId="0" borderId="10" xfId="0" applyNumberFormat="1" applyFont="1" applyBorder="1" applyAlignment="1">
      <alignment horizontal="left"/>
    </xf>
    <xf numFmtId="0" fontId="1" fillId="6" borderId="55" xfId="0" applyFont="1" applyFill="1" applyBorder="1" applyAlignment="1">
      <alignment horizontal="center"/>
    </xf>
    <xf numFmtId="2" fontId="1" fillId="0" borderId="53" xfId="0" applyNumberFormat="1" applyFont="1" applyBorder="1" applyAlignment="1">
      <alignment horizontal="center"/>
    </xf>
    <xf numFmtId="0" fontId="43" fillId="0" borderId="54" xfId="0" applyFont="1" applyBorder="1" applyAlignment="1">
      <alignment horizontal="center"/>
    </xf>
    <xf numFmtId="2" fontId="25" fillId="4" borderId="50" xfId="0" applyNumberFormat="1" applyFont="1" applyFill="1" applyBorder="1" applyAlignment="1" applyProtection="1">
      <alignment horizontal="center"/>
      <protection locked="0"/>
    </xf>
    <xf numFmtId="2" fontId="25" fillId="4" borderId="14" xfId="0" applyNumberFormat="1" applyFont="1" applyFill="1" applyBorder="1" applyAlignment="1" applyProtection="1">
      <alignment horizontal="center"/>
      <protection locked="0"/>
    </xf>
    <xf numFmtId="0" fontId="44" fillId="0" borderId="14" xfId="0" applyFont="1" applyBorder="1" applyAlignment="1">
      <alignment horizontal="center"/>
    </xf>
    <xf numFmtId="2" fontId="1" fillId="4" borderId="53" xfId="0" applyNumberFormat="1" applyFont="1" applyFill="1" applyBorder="1" applyAlignment="1">
      <alignment horizontal="center"/>
    </xf>
    <xf numFmtId="167" fontId="1" fillId="0" borderId="0" xfId="0" applyNumberFormat="1" applyFont="1"/>
    <xf numFmtId="2" fontId="1" fillId="0" borderId="67" xfId="0" applyNumberFormat="1" applyFont="1" applyBorder="1" applyAlignment="1">
      <alignment horizontal="center"/>
    </xf>
    <xf numFmtId="2" fontId="1" fillId="0" borderId="17" xfId="0" applyNumberFormat="1" applyFont="1" applyBorder="1" applyAlignment="1">
      <alignment horizontal="left"/>
    </xf>
    <xf numFmtId="0" fontId="45" fillId="0" borderId="73" xfId="0" applyFont="1" applyBorder="1" applyAlignment="1">
      <alignment horizontal="center"/>
    </xf>
    <xf numFmtId="0" fontId="45" fillId="0" borderId="74" xfId="0" applyFont="1" applyBorder="1" applyAlignment="1">
      <alignment horizontal="center"/>
    </xf>
    <xf numFmtId="0" fontId="45" fillId="0" borderId="75" xfId="0" applyFont="1" applyBorder="1" applyAlignment="1">
      <alignment horizontal="center"/>
    </xf>
    <xf numFmtId="170" fontId="1" fillId="0" borderId="1" xfId="0" applyNumberFormat="1" applyFont="1" applyBorder="1" applyAlignment="1">
      <alignment horizontal="left"/>
    </xf>
    <xf numFmtId="0" fontId="1" fillId="0" borderId="21" xfId="0" applyFont="1" applyBorder="1"/>
    <xf numFmtId="2" fontId="1" fillId="0" borderId="21" xfId="0" applyNumberFormat="1" applyFont="1" applyBorder="1"/>
    <xf numFmtId="0" fontId="43" fillId="0" borderId="19" xfId="0" applyFont="1" applyBorder="1" applyAlignment="1">
      <alignment horizontal="center"/>
    </xf>
    <xf numFmtId="166" fontId="1" fillId="0" borderId="20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55" xfId="0" applyFont="1" applyBorder="1"/>
    <xf numFmtId="2" fontId="1" fillId="0" borderId="55" xfId="0" applyNumberFormat="1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170" fontId="1" fillId="0" borderId="69" xfId="0" applyNumberFormat="1" applyFont="1" applyBorder="1" applyAlignment="1">
      <alignment horizontal="left"/>
    </xf>
    <xf numFmtId="0" fontId="43" fillId="0" borderId="58" xfId="0" applyFont="1" applyBorder="1" applyAlignment="1">
      <alignment horizontal="center"/>
    </xf>
    <xf numFmtId="0" fontId="1" fillId="0" borderId="48" xfId="0" applyFont="1" applyBorder="1"/>
    <xf numFmtId="0" fontId="43" fillId="0" borderId="26" xfId="0" applyFont="1" applyBorder="1" applyAlignment="1">
      <alignment horizontal="left"/>
    </xf>
    <xf numFmtId="166" fontId="1" fillId="0" borderId="76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29" xfId="0" applyNumberFormat="1" applyFont="1" applyBorder="1" applyAlignment="1">
      <alignment horizontal="center"/>
    </xf>
    <xf numFmtId="0" fontId="43" fillId="0" borderId="7" xfId="0" applyFont="1" applyBorder="1"/>
    <xf numFmtId="0" fontId="41" fillId="0" borderId="7" xfId="0" applyFont="1" applyBorder="1"/>
    <xf numFmtId="0" fontId="41" fillId="0" borderId="48" xfId="0" applyFont="1" applyBorder="1"/>
    <xf numFmtId="0" fontId="41" fillId="0" borderId="48" xfId="0" applyFont="1" applyBorder="1" applyAlignment="1">
      <alignment horizontal="center"/>
    </xf>
    <xf numFmtId="0" fontId="1" fillId="0" borderId="60" xfId="0" applyFont="1" applyBorder="1" applyAlignment="1">
      <alignment horizontal="left"/>
    </xf>
    <xf numFmtId="170" fontId="1" fillId="0" borderId="6" xfId="0" applyNumberFormat="1" applyFont="1" applyBorder="1" applyAlignment="1">
      <alignment horizontal="left"/>
    </xf>
    <xf numFmtId="0" fontId="1" fillId="0" borderId="66" xfId="0" applyFont="1" applyBorder="1" applyAlignment="1">
      <alignment horizontal="left"/>
    </xf>
    <xf numFmtId="166" fontId="1" fillId="0" borderId="5" xfId="0" applyNumberFormat="1" applyFont="1" applyBorder="1" applyAlignment="1">
      <alignment horizontal="center"/>
    </xf>
    <xf numFmtId="0" fontId="24" fillId="0" borderId="19" xfId="0" applyFont="1" applyBorder="1" applyAlignment="1">
      <alignment horizontal="left"/>
    </xf>
    <xf numFmtId="0" fontId="24" fillId="0" borderId="2" xfId="0" applyFont="1" applyBorder="1" applyAlignment="1">
      <alignment horizontal="left"/>
    </xf>
    <xf numFmtId="0" fontId="24" fillId="0" borderId="20" xfId="0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0" fontId="24" fillId="0" borderId="67" xfId="0" applyFont="1" applyBorder="1" applyAlignment="1">
      <alignment horizontal="left"/>
    </xf>
    <xf numFmtId="0" fontId="24" fillId="0" borderId="66" xfId="0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0" fontId="24" fillId="0" borderId="6" xfId="0" applyFont="1" applyBorder="1"/>
    <xf numFmtId="0" fontId="1" fillId="4" borderId="7" xfId="0" applyFont="1" applyFill="1" applyBorder="1" applyAlignment="1">
      <alignment horizontal="left"/>
    </xf>
    <xf numFmtId="0" fontId="1" fillId="4" borderId="29" xfId="0" applyFont="1" applyFill="1" applyBorder="1" applyAlignment="1">
      <alignment horizontal="left"/>
    </xf>
    <xf numFmtId="0" fontId="24" fillId="0" borderId="54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32" fillId="5" borderId="1" xfId="0" applyFont="1" applyFill="1" applyBorder="1" applyAlignment="1">
      <alignment horizontal="center"/>
    </xf>
    <xf numFmtId="0" fontId="32" fillId="5" borderId="2" xfId="0" applyFont="1" applyFill="1" applyBorder="1" applyAlignment="1">
      <alignment horizontal="center"/>
    </xf>
    <xf numFmtId="0" fontId="32" fillId="5" borderId="20" xfId="0" applyFont="1" applyFill="1" applyBorder="1" applyAlignment="1">
      <alignment horizontal="center"/>
    </xf>
    <xf numFmtId="0" fontId="32" fillId="5" borderId="10" xfId="0" applyFont="1" applyFill="1" applyBorder="1" applyAlignment="1">
      <alignment horizontal="center"/>
    </xf>
    <xf numFmtId="0" fontId="32" fillId="5" borderId="11" xfId="0" applyFont="1" applyFill="1" applyBorder="1" applyAlignment="1">
      <alignment horizontal="center"/>
    </xf>
    <xf numFmtId="0" fontId="32" fillId="5" borderId="16" xfId="0" applyFont="1" applyFill="1" applyBorder="1" applyAlignment="1">
      <alignment horizontal="center"/>
    </xf>
    <xf numFmtId="0" fontId="34" fillId="7" borderId="1" xfId="0" applyFont="1" applyFill="1" applyBorder="1" applyAlignment="1">
      <alignment horizontal="left"/>
    </xf>
    <xf numFmtId="0" fontId="34" fillId="7" borderId="21" xfId="0" applyFont="1" applyFill="1" applyBorder="1" applyAlignment="1">
      <alignment horizontal="left"/>
    </xf>
    <xf numFmtId="0" fontId="34" fillId="7" borderId="58" xfId="0" applyFont="1" applyFill="1" applyBorder="1" applyAlignment="1">
      <alignment horizontal="center"/>
    </xf>
    <xf numFmtId="0" fontId="34" fillId="7" borderId="3" xfId="0" applyFont="1" applyFill="1" applyBorder="1" applyAlignment="1">
      <alignment horizontal="center"/>
    </xf>
    <xf numFmtId="0" fontId="34" fillId="7" borderId="59" xfId="0" applyFont="1" applyFill="1" applyBorder="1" applyAlignment="1">
      <alignment horizontal="center"/>
    </xf>
    <xf numFmtId="0" fontId="34" fillId="7" borderId="19" xfId="0" applyFont="1" applyFill="1" applyBorder="1" applyAlignment="1">
      <alignment horizontal="center"/>
    </xf>
    <xf numFmtId="0" fontId="34" fillId="7" borderId="20" xfId="0" applyFont="1" applyFill="1" applyBorder="1" applyAlignment="1">
      <alignment horizontal="center"/>
    </xf>
    <xf numFmtId="0" fontId="28" fillId="7" borderId="69" xfId="0" applyFont="1" applyFill="1" applyBorder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0" fontId="42" fillId="7" borderId="69" xfId="0" applyFont="1" applyFill="1" applyBorder="1" applyAlignment="1">
      <alignment horizontal="center"/>
    </xf>
    <xf numFmtId="0" fontId="42" fillId="7" borderId="3" xfId="0" applyFont="1" applyFill="1" applyBorder="1" applyAlignment="1">
      <alignment horizontal="center"/>
    </xf>
    <xf numFmtId="0" fontId="42" fillId="7" borderId="4" xfId="0" applyFont="1" applyFill="1" applyBorder="1" applyAlignment="1">
      <alignment horizontal="center"/>
    </xf>
    <xf numFmtId="0" fontId="34" fillId="7" borderId="10" xfId="0" applyFont="1" applyFill="1" applyBorder="1" applyAlignment="1">
      <alignment horizontal="left"/>
    </xf>
    <xf numFmtId="0" fontId="34" fillId="7" borderId="55" xfId="0" applyFont="1" applyFill="1" applyBorder="1" applyAlignment="1">
      <alignment horizontal="left"/>
    </xf>
    <xf numFmtId="0" fontId="34" fillId="7" borderId="53" xfId="0" applyFont="1" applyFill="1" applyBorder="1" applyAlignment="1">
      <alignment horizontal="center"/>
    </xf>
    <xf numFmtId="0" fontId="1" fillId="7" borderId="54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34" fillId="0" borderId="77" xfId="0" applyFont="1" applyBorder="1"/>
    <xf numFmtId="0" fontId="1" fillId="0" borderId="77" xfId="0" applyFont="1" applyBorder="1"/>
    <xf numFmtId="0" fontId="1" fillId="0" borderId="78" xfId="0" applyFont="1" applyBorder="1"/>
    <xf numFmtId="0" fontId="1" fillId="7" borderId="59" xfId="0" applyFont="1" applyFill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1" fillId="7" borderId="61" xfId="0" applyFont="1" applyFill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0" borderId="9" xfId="0" applyFont="1" applyBorder="1"/>
    <xf numFmtId="0" fontId="1" fillId="0" borderId="8" xfId="0" applyFont="1" applyBorder="1"/>
    <xf numFmtId="0" fontId="1" fillId="7" borderId="55" xfId="0" applyFont="1" applyFill="1" applyBorder="1" applyAlignment="1">
      <alignment horizontal="center"/>
    </xf>
    <xf numFmtId="0" fontId="34" fillId="0" borderId="60" xfId="0" applyFont="1" applyBorder="1" applyAlignment="1">
      <alignment horizontal="center"/>
    </xf>
    <xf numFmtId="2" fontId="1" fillId="0" borderId="60" xfId="0" applyNumberFormat="1" applyFont="1" applyBorder="1" applyAlignment="1">
      <alignment horizontal="center"/>
    </xf>
    <xf numFmtId="2" fontId="1" fillId="0" borderId="56" xfId="0" applyNumberFormat="1" applyFont="1" applyBorder="1" applyAlignment="1">
      <alignment horizontal="center"/>
    </xf>
    <xf numFmtId="170" fontId="1" fillId="7" borderId="1" xfId="0" applyNumberFormat="1" applyFont="1" applyFill="1" applyBorder="1" applyAlignment="1">
      <alignment horizontal="left"/>
    </xf>
    <xf numFmtId="170" fontId="1" fillId="7" borderId="21" xfId="0" applyNumberFormat="1" applyFont="1" applyFill="1" applyBorder="1" applyAlignment="1">
      <alignment horizontal="left"/>
    </xf>
    <xf numFmtId="166" fontId="1" fillId="0" borderId="2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70" fontId="1" fillId="7" borderId="10" xfId="0" applyNumberFormat="1" applyFont="1" applyFill="1" applyBorder="1" applyAlignment="1">
      <alignment horizontal="left"/>
    </xf>
    <xf numFmtId="170" fontId="1" fillId="7" borderId="55" xfId="0" applyNumberFormat="1" applyFont="1" applyFill="1" applyBorder="1" applyAlignment="1">
      <alignment horizontal="left"/>
    </xf>
    <xf numFmtId="166" fontId="1" fillId="0" borderId="11" xfId="0" applyNumberFormat="1" applyFont="1" applyBorder="1" applyAlignment="1">
      <alignment horizontal="center"/>
    </xf>
    <xf numFmtId="170" fontId="1" fillId="8" borderId="69" xfId="0" applyNumberFormat="1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8" borderId="59" xfId="0" applyFont="1" applyFill="1" applyBorder="1" applyAlignment="1">
      <alignment horizontal="left"/>
    </xf>
    <xf numFmtId="170" fontId="1" fillId="8" borderId="70" xfId="0" applyNumberFormat="1" applyFont="1" applyFill="1" applyBorder="1" applyAlignment="1">
      <alignment horizontal="left"/>
    </xf>
    <xf numFmtId="0" fontId="1" fillId="8" borderId="48" xfId="0" applyFont="1" applyFill="1" applyBorder="1" applyAlignment="1">
      <alignment horizontal="left"/>
    </xf>
    <xf numFmtId="0" fontId="1" fillId="8" borderId="61" xfId="0" applyFont="1" applyFill="1" applyBorder="1" applyAlignment="1">
      <alignment horizontal="left"/>
    </xf>
    <xf numFmtId="166" fontId="1" fillId="0" borderId="48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43" fillId="8" borderId="48" xfId="0" applyFont="1" applyFill="1" applyBorder="1" applyAlignment="1">
      <alignment horizontal="left"/>
    </xf>
    <xf numFmtId="0" fontId="43" fillId="8" borderId="61" xfId="0" applyFont="1" applyFill="1" applyBorder="1" applyAlignment="1">
      <alignment horizontal="left"/>
    </xf>
    <xf numFmtId="170" fontId="1" fillId="8" borderId="6" xfId="0" applyNumberFormat="1" applyFont="1" applyFill="1" applyBorder="1" applyAlignment="1">
      <alignment horizontal="left"/>
    </xf>
    <xf numFmtId="0" fontId="43" fillId="8" borderId="12" xfId="0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79" xfId="0" applyFont="1" applyBorder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6" fontId="1" fillId="0" borderId="11" xfId="0" applyNumberFormat="1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46" fillId="0" borderId="80" xfId="0" applyFont="1" applyBorder="1" applyAlignment="1">
      <alignment horizontal="centerContinuous" vertical="center"/>
    </xf>
    <xf numFmtId="0" fontId="46" fillId="0" borderId="81" xfId="0" applyFont="1" applyBorder="1" applyAlignment="1">
      <alignment horizontal="centerContinuous" vertical="center"/>
    </xf>
    <xf numFmtId="0" fontId="46" fillId="0" borderId="82" xfId="0" applyFont="1" applyBorder="1" applyAlignment="1">
      <alignment horizontal="centerContinuous" vertical="center"/>
    </xf>
    <xf numFmtId="0" fontId="47" fillId="0" borderId="83" xfId="0" applyFont="1" applyBorder="1" applyAlignment="1">
      <alignment horizontal="centerContinuous"/>
    </xf>
    <xf numFmtId="0" fontId="46" fillId="0" borderId="84" xfId="0" applyFont="1" applyBorder="1" applyAlignment="1">
      <alignment horizontal="centerContinuous" vertical="top"/>
    </xf>
    <xf numFmtId="0" fontId="46" fillId="0" borderId="85" xfId="0" applyFont="1" applyBorder="1" applyAlignment="1">
      <alignment horizontal="centerContinuous" vertical="top"/>
    </xf>
    <xf numFmtId="0" fontId="46" fillId="0" borderId="86" xfId="0" applyFont="1" applyBorder="1" applyAlignment="1">
      <alignment horizontal="centerContinuous" vertical="top"/>
    </xf>
    <xf numFmtId="0" fontId="48" fillId="0" borderId="84" xfId="0" applyFont="1" applyBorder="1" applyAlignment="1">
      <alignment horizontal="centerContinuous" vertical="center"/>
    </xf>
    <xf numFmtId="0" fontId="48" fillId="0" borderId="86" xfId="0" applyFont="1" applyBorder="1" applyAlignment="1">
      <alignment horizontal="centerContinuous" vertical="center"/>
    </xf>
    <xf numFmtId="0" fontId="48" fillId="0" borderId="87" xfId="0" applyFont="1" applyBorder="1" applyAlignment="1">
      <alignment horizontal="centerContinuous" vertical="center" wrapText="1"/>
    </xf>
    <xf numFmtId="0" fontId="48" fillId="0" borderId="87" xfId="0" applyFont="1" applyBorder="1" applyAlignment="1">
      <alignment horizontal="centerContinuous" vertical="center"/>
    </xf>
    <xf numFmtId="0" fontId="24" fillId="0" borderId="88" xfId="0" applyFont="1" applyBorder="1"/>
    <xf numFmtId="0" fontId="24" fillId="0" borderId="89" xfId="0" applyFont="1" applyBorder="1"/>
    <xf numFmtId="0" fontId="24" fillId="0" borderId="90" xfId="0" applyFont="1" applyBorder="1"/>
    <xf numFmtId="0" fontId="49" fillId="0" borderId="80" xfId="0" applyFont="1" applyBorder="1" applyAlignment="1">
      <alignment horizontal="left" vertical="top"/>
    </xf>
    <xf numFmtId="0" fontId="49" fillId="0" borderId="81" xfId="0" applyFont="1" applyBorder="1" applyAlignment="1">
      <alignment horizontal="left" vertical="top"/>
    </xf>
    <xf numFmtId="0" fontId="49" fillId="0" borderId="91" xfId="0" applyFont="1" applyBorder="1" applyAlignment="1">
      <alignment horizontal="left" vertical="top"/>
    </xf>
    <xf numFmtId="0" fontId="49" fillId="0" borderId="92" xfId="0" applyFont="1" applyBorder="1" applyAlignment="1">
      <alignment horizontal="left" vertical="top"/>
    </xf>
    <xf numFmtId="0" fontId="49" fillId="0" borderId="93" xfId="0" applyFont="1" applyBorder="1" applyAlignment="1">
      <alignment horizontal="left" vertical="top"/>
    </xf>
    <xf numFmtId="0" fontId="49" fillId="0" borderId="94" xfId="0" applyFont="1" applyBorder="1" applyAlignment="1">
      <alignment horizontal="left" vertical="top"/>
    </xf>
    <xf numFmtId="0" fontId="7" fillId="0" borderId="95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29" xfId="0" applyFont="1" applyBorder="1" applyAlignment="1" applyProtection="1">
      <alignment horizontal="center"/>
      <protection locked="0"/>
    </xf>
    <xf numFmtId="1" fontId="7" fillId="0" borderId="7" xfId="0" applyNumberFormat="1" applyFont="1" applyBorder="1" applyAlignment="1" applyProtection="1">
      <alignment horizontal="center"/>
      <protection locked="0"/>
    </xf>
    <xf numFmtId="1" fontId="7" fillId="0" borderId="26" xfId="0" applyNumberFormat="1" applyFont="1" applyBorder="1" applyAlignment="1" applyProtection="1">
      <alignment horizontal="center"/>
      <protection locked="0"/>
    </xf>
    <xf numFmtId="0" fontId="34" fillId="0" borderId="26" xfId="0" applyFont="1" applyBorder="1" applyAlignment="1" applyProtection="1">
      <alignment horizontal="center"/>
      <protection locked="0"/>
    </xf>
    <xf numFmtId="0" fontId="34" fillId="0" borderId="29" xfId="0" applyFont="1" applyBorder="1" applyAlignment="1" applyProtection="1">
      <alignment horizontal="center"/>
      <protection locked="0"/>
    </xf>
    <xf numFmtId="14" fontId="34" fillId="0" borderId="27" xfId="0" applyNumberFormat="1" applyFont="1" applyBorder="1" applyAlignment="1" applyProtection="1">
      <alignment horizontal="center"/>
      <protection locked="0"/>
    </xf>
    <xf numFmtId="171" fontId="34" fillId="0" borderId="96" xfId="0" applyNumberFormat="1" applyFont="1" applyBorder="1" applyAlignment="1" applyProtection="1">
      <alignment horizontal="center"/>
      <protection locked="0"/>
    </xf>
    <xf numFmtId="0" fontId="49" fillId="0" borderId="97" xfId="0" applyFont="1" applyBorder="1" applyAlignment="1">
      <alignment horizontal="left" vertical="top"/>
    </xf>
    <xf numFmtId="0" fontId="49" fillId="0" borderId="64" xfId="0" applyFont="1" applyBorder="1" applyAlignment="1">
      <alignment horizontal="left" vertical="top"/>
    </xf>
    <xf numFmtId="0" fontId="49" fillId="0" borderId="65" xfId="0" applyFont="1" applyBorder="1" applyAlignment="1">
      <alignment horizontal="left" vertical="top"/>
    </xf>
    <xf numFmtId="0" fontId="49" fillId="0" borderId="68" xfId="0" applyFont="1" applyBorder="1" applyAlignment="1">
      <alignment horizontal="left" vertical="top"/>
    </xf>
    <xf numFmtId="0" fontId="49" fillId="0" borderId="63" xfId="0" applyFont="1" applyBorder="1" applyAlignment="1">
      <alignment horizontal="left" vertical="top"/>
    </xf>
    <xf numFmtId="14" fontId="49" fillId="0" borderId="63" xfId="0" applyNumberFormat="1" applyFont="1" applyBorder="1" applyAlignment="1">
      <alignment horizontal="left" vertical="top"/>
    </xf>
    <xf numFmtId="0" fontId="49" fillId="0" borderId="98" xfId="0" applyFont="1" applyBorder="1" applyAlignment="1">
      <alignment horizontal="left" vertical="top"/>
    </xf>
    <xf numFmtId="0" fontId="7" fillId="0" borderId="99" xfId="0" applyFont="1" applyBorder="1" applyAlignment="1" applyProtection="1">
      <alignment horizontal="center" shrinkToFit="1"/>
      <protection locked="0"/>
    </xf>
    <xf numFmtId="0" fontId="7" fillId="0" borderId="0" xfId="0" applyFont="1" applyAlignment="1" applyProtection="1">
      <alignment horizontal="center" shrinkToFit="1"/>
      <protection locked="0"/>
    </xf>
    <xf numFmtId="0" fontId="7" fillId="0" borderId="67" xfId="0" applyFont="1" applyBorder="1" applyAlignment="1" applyProtection="1">
      <alignment horizontal="center" shrinkToFit="1"/>
      <protection locked="0"/>
    </xf>
    <xf numFmtId="0" fontId="7" fillId="0" borderId="71" xfId="0" applyFont="1" applyBorder="1" applyAlignment="1" applyProtection="1">
      <alignment horizontal="center"/>
      <protection locked="0"/>
    </xf>
    <xf numFmtId="0" fontId="7" fillId="0" borderId="66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7" fillId="0" borderId="66" xfId="0" applyFont="1" applyBorder="1" applyAlignment="1" applyProtection="1">
      <alignment horizontal="center"/>
      <protection locked="0"/>
    </xf>
    <xf numFmtId="0" fontId="7" fillId="0" borderId="100" xfId="0" applyFont="1" applyBorder="1" applyAlignment="1" applyProtection="1">
      <alignment horizontal="center"/>
      <protection locked="0"/>
    </xf>
    <xf numFmtId="0" fontId="7" fillId="0" borderId="95" xfId="0" applyFont="1" applyBorder="1" applyAlignment="1">
      <alignment horizontal="centerContinuous"/>
    </xf>
    <xf numFmtId="0" fontId="6" fillId="0" borderId="7" xfId="0" applyFont="1" applyBorder="1" applyAlignment="1">
      <alignment horizontal="centerContinuous"/>
    </xf>
    <xf numFmtId="0" fontId="6" fillId="0" borderId="29" xfId="0" applyFont="1" applyBorder="1" applyAlignment="1">
      <alignment horizontal="centerContinuous"/>
    </xf>
    <xf numFmtId="0" fontId="34" fillId="0" borderId="27" xfId="0" applyFont="1" applyBorder="1"/>
    <xf numFmtId="0" fontId="7" fillId="0" borderId="26" xfId="0" applyFont="1" applyBorder="1" applyAlignment="1">
      <alignment horizontal="right"/>
    </xf>
    <xf numFmtId="0" fontId="6" fillId="0" borderId="29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101" xfId="0" applyFont="1" applyBorder="1" applyAlignment="1">
      <alignment horizontal="centerContinuous"/>
    </xf>
    <xf numFmtId="0" fontId="24" fillId="0" borderId="99" xfId="0" applyFont="1" applyBorder="1"/>
    <xf numFmtId="0" fontId="24" fillId="0" borderId="7" xfId="0" applyFont="1" applyBorder="1"/>
    <xf numFmtId="0" fontId="24" fillId="0" borderId="100" xfId="0" applyFont="1" applyBorder="1"/>
    <xf numFmtId="0" fontId="24" fillId="0" borderId="97" xfId="0" applyFont="1" applyBorder="1"/>
    <xf numFmtId="0" fontId="24" fillId="0" borderId="65" xfId="0" applyFont="1" applyBorder="1" applyAlignment="1">
      <alignment horizontal="centerContinuous"/>
    </xf>
    <xf numFmtId="0" fontId="24" fillId="0" borderId="102" xfId="0" applyFont="1" applyBorder="1" applyAlignment="1">
      <alignment horizontal="centerContinuous"/>
    </xf>
    <xf numFmtId="0" fontId="24" fillId="0" borderId="103" xfId="0" applyFont="1" applyBorder="1" applyAlignment="1">
      <alignment horizontal="centerContinuous"/>
    </xf>
    <xf numFmtId="0" fontId="24" fillId="0" borderId="104" xfId="0" applyFont="1" applyBorder="1" applyAlignment="1">
      <alignment horizontal="centerContinuous"/>
    </xf>
    <xf numFmtId="0" fontId="24" fillId="0" borderId="105" xfId="0" applyFont="1" applyBorder="1" applyAlignment="1">
      <alignment horizontal="centerContinuous"/>
    </xf>
    <xf numFmtId="0" fontId="50" fillId="0" borderId="99" xfId="0" applyFont="1" applyBorder="1" applyAlignment="1">
      <alignment horizontal="left"/>
    </xf>
    <xf numFmtId="0" fontId="51" fillId="3" borderId="0" xfId="0" applyFont="1" applyFill="1" applyAlignment="1" applyProtection="1">
      <alignment horizontal="center" vertical="center"/>
      <protection locked="0"/>
    </xf>
    <xf numFmtId="0" fontId="51" fillId="0" borderId="67" xfId="0" applyFont="1" applyBorder="1" applyAlignment="1">
      <alignment horizontal="right"/>
    </xf>
    <xf numFmtId="49" fontId="52" fillId="0" borderId="106" xfId="0" applyNumberFormat="1" applyFont="1" applyBorder="1" applyAlignment="1" applyProtection="1">
      <alignment horizontal="center"/>
      <protection locked="0"/>
    </xf>
    <xf numFmtId="49" fontId="52" fillId="0" borderId="107" xfId="0" applyNumberFormat="1" applyFont="1" applyBorder="1" applyAlignment="1" applyProtection="1">
      <alignment horizontal="center"/>
      <protection locked="0"/>
    </xf>
    <xf numFmtId="49" fontId="52" fillId="0" borderId="108" xfId="0" applyNumberFormat="1" applyFont="1" applyBorder="1" applyAlignment="1" applyProtection="1">
      <alignment horizontal="left"/>
      <protection locked="0"/>
    </xf>
    <xf numFmtId="49" fontId="52" fillId="0" borderId="109" xfId="0" applyNumberFormat="1" applyFont="1" applyBorder="1" applyAlignment="1" applyProtection="1">
      <alignment horizontal="left"/>
      <protection locked="0"/>
    </xf>
    <xf numFmtId="0" fontId="24" fillId="0" borderId="99" xfId="0" applyFont="1" applyBorder="1" applyAlignment="1">
      <alignment horizontal="left"/>
    </xf>
    <xf numFmtId="0" fontId="53" fillId="3" borderId="0" xfId="0" applyFont="1" applyFill="1" applyAlignment="1" applyProtection="1">
      <alignment horizontal="center" vertical="center"/>
      <protection locked="0"/>
    </xf>
    <xf numFmtId="49" fontId="52" fillId="0" borderId="110" xfId="0" applyNumberFormat="1" applyFont="1" applyBorder="1" applyAlignment="1" applyProtection="1">
      <alignment horizontal="center"/>
      <protection locked="0"/>
    </xf>
    <xf numFmtId="0" fontId="51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49" fontId="51" fillId="0" borderId="110" xfId="0" applyNumberFormat="1" applyFont="1" applyBorder="1" applyAlignment="1" applyProtection="1">
      <alignment horizontal="center"/>
      <protection locked="0"/>
    </xf>
    <xf numFmtId="0" fontId="24" fillId="0" borderId="95" xfId="0" applyFont="1" applyBorder="1"/>
    <xf numFmtId="0" fontId="24" fillId="0" borderId="29" xfId="0" applyFont="1" applyBorder="1"/>
    <xf numFmtId="0" fontId="24" fillId="0" borderId="111" xfId="0" applyFont="1" applyBorder="1" applyAlignment="1">
      <alignment horizontal="center"/>
    </xf>
    <xf numFmtId="0" fontId="24" fillId="0" borderId="112" xfId="0" applyFont="1" applyBorder="1" applyAlignment="1">
      <alignment horizontal="center"/>
    </xf>
    <xf numFmtId="0" fontId="24" fillId="0" borderId="113" xfId="0" applyFont="1" applyBorder="1"/>
    <xf numFmtId="0" fontId="24" fillId="0" borderId="114" xfId="0" applyFont="1" applyBorder="1"/>
    <xf numFmtId="0" fontId="24" fillId="0" borderId="115" xfId="0" applyFont="1" applyBorder="1" applyAlignment="1">
      <alignment horizontal="centerContinuous"/>
    </xf>
    <xf numFmtId="166" fontId="24" fillId="0" borderId="39" xfId="0" applyNumberFormat="1" applyFont="1" applyBorder="1" applyAlignment="1" applyProtection="1">
      <alignment horizontal="center"/>
      <protection locked="0"/>
    </xf>
    <xf numFmtId="166" fontId="24" fillId="0" borderId="116" xfId="0" applyNumberFormat="1" applyFont="1" applyBorder="1" applyAlignment="1" applyProtection="1">
      <alignment horizontal="center"/>
      <protection locked="0"/>
    </xf>
    <xf numFmtId="0" fontId="24" fillId="0" borderId="80" xfId="0" applyFont="1" applyBorder="1" applyAlignment="1">
      <alignment horizontal="left"/>
    </xf>
    <xf numFmtId="0" fontId="24" fillId="0" borderId="81" xfId="0" applyFont="1" applyBorder="1"/>
    <xf numFmtId="0" fontId="24" fillId="0" borderId="91" xfId="0" applyFont="1" applyBorder="1" applyAlignment="1">
      <alignment horizontal="right"/>
    </xf>
    <xf numFmtId="172" fontId="23" fillId="0" borderId="117" xfId="0" applyNumberFormat="1" applyFont="1" applyBorder="1" applyAlignment="1">
      <alignment horizontal="center"/>
    </xf>
    <xf numFmtId="172" fontId="23" fillId="0" borderId="118" xfId="0" applyNumberFormat="1" applyFont="1" applyBorder="1" applyAlignment="1">
      <alignment horizontal="center"/>
    </xf>
    <xf numFmtId="172" fontId="23" fillId="0" borderId="119" xfId="0" applyNumberFormat="1" applyFont="1" applyBorder="1" applyAlignment="1">
      <alignment horizontal="center"/>
    </xf>
    <xf numFmtId="172" fontId="23" fillId="0" borderId="120" xfId="0" applyNumberFormat="1" applyFont="1" applyBorder="1" applyAlignment="1">
      <alignment horizontal="center"/>
    </xf>
    <xf numFmtId="0" fontId="24" fillId="0" borderId="67" xfId="0" applyFont="1" applyBorder="1" applyAlignment="1">
      <alignment horizontal="right"/>
    </xf>
    <xf numFmtId="172" fontId="23" fillId="0" borderId="121" xfId="0" applyNumberFormat="1" applyFont="1" applyBorder="1" applyAlignment="1">
      <alignment horizontal="center"/>
    </xf>
    <xf numFmtId="172" fontId="23" fillId="0" borderId="102" xfId="0" applyNumberFormat="1" applyFont="1" applyBorder="1" applyAlignment="1">
      <alignment horizontal="center"/>
    </xf>
    <xf numFmtId="172" fontId="23" fillId="0" borderId="39" xfId="0" applyNumberFormat="1" applyFont="1" applyBorder="1" applyAlignment="1">
      <alignment horizontal="center"/>
    </xf>
    <xf numFmtId="172" fontId="23" fillId="0" borderId="122" xfId="0" applyNumberFormat="1" applyFont="1" applyBorder="1" applyAlignment="1">
      <alignment horizontal="center"/>
    </xf>
    <xf numFmtId="172" fontId="23" fillId="0" borderId="123" xfId="0" applyNumberFormat="1" applyFont="1" applyBorder="1" applyAlignment="1" applyProtection="1">
      <alignment horizontal="center"/>
      <protection locked="0"/>
    </xf>
    <xf numFmtId="172" fontId="23" fillId="0" borderId="124" xfId="0" applyNumberFormat="1" applyFont="1" applyBorder="1" applyAlignment="1" applyProtection="1">
      <alignment horizontal="center"/>
      <protection locked="0"/>
    </xf>
    <xf numFmtId="172" fontId="23" fillId="0" borderId="125" xfId="0" applyNumberFormat="1" applyFont="1" applyBorder="1" applyAlignment="1" applyProtection="1">
      <alignment horizontal="center"/>
      <protection locked="0"/>
    </xf>
    <xf numFmtId="172" fontId="23" fillId="0" borderId="126" xfId="0" applyNumberFormat="1" applyFont="1" applyBorder="1" applyAlignment="1" applyProtection="1">
      <alignment horizontal="center"/>
      <protection locked="0"/>
    </xf>
    <xf numFmtId="172" fontId="23" fillId="0" borderId="127" xfId="0" applyNumberFormat="1" applyFont="1" applyBorder="1" applyAlignment="1" applyProtection="1">
      <alignment horizontal="center"/>
      <protection locked="0"/>
    </xf>
    <xf numFmtId="172" fontId="23" fillId="0" borderId="128" xfId="0" applyNumberFormat="1" applyFont="1" applyBorder="1" applyAlignment="1" applyProtection="1">
      <alignment horizontal="center"/>
      <protection locked="0"/>
    </xf>
    <xf numFmtId="172" fontId="23" fillId="0" borderId="123" xfId="0" applyNumberFormat="1" applyFont="1" applyBorder="1" applyAlignment="1">
      <alignment horizontal="center"/>
    </xf>
    <xf numFmtId="172" fontId="23" fillId="0" borderId="124" xfId="0" applyNumberFormat="1" applyFont="1" applyBorder="1" applyAlignment="1">
      <alignment horizontal="center"/>
    </xf>
    <xf numFmtId="172" fontId="23" fillId="0" borderId="125" xfId="0" applyNumberFormat="1" applyFont="1" applyBorder="1" applyAlignment="1">
      <alignment horizontal="center"/>
    </xf>
    <xf numFmtId="0" fontId="24" fillId="0" borderId="84" xfId="0" applyFont="1" applyBorder="1" applyAlignment="1">
      <alignment horizontal="left"/>
    </xf>
    <xf numFmtId="0" fontId="24" fillId="0" borderId="85" xfId="0" applyFont="1" applyBorder="1"/>
    <xf numFmtId="0" fontId="24" fillId="0" borderId="129" xfId="0" applyFont="1" applyBorder="1" applyAlignment="1">
      <alignment horizontal="right"/>
    </xf>
    <xf numFmtId="172" fontId="23" fillId="0" borderId="126" xfId="0" applyNumberFormat="1" applyFont="1" applyBorder="1" applyAlignment="1">
      <alignment horizontal="center"/>
    </xf>
    <xf numFmtId="172" fontId="23" fillId="0" borderId="127" xfId="0" applyNumberFormat="1" applyFont="1" applyBorder="1" applyAlignment="1">
      <alignment horizontal="center"/>
    </xf>
    <xf numFmtId="172" fontId="23" fillId="0" borderId="128" xfId="0" applyNumberFormat="1" applyFont="1" applyBorder="1" applyAlignment="1">
      <alignment horizontal="center"/>
    </xf>
    <xf numFmtId="0" fontId="54" fillId="0" borderId="0" xfId="0" applyFont="1"/>
    <xf numFmtId="0" fontId="1" fillId="0" borderId="11" xfId="0" applyFont="1" applyBorder="1" applyAlignment="1">
      <alignment horizontal="left"/>
    </xf>
    <xf numFmtId="0" fontId="23" fillId="0" borderId="0" xfId="0" applyFont="1" applyAlignment="1">
      <alignment horizontal="center" vertical="top"/>
    </xf>
    <xf numFmtId="0" fontId="24" fillId="0" borderId="0" xfId="0" applyFont="1" applyAlignment="1">
      <alignment horizontal="right" wrapText="1"/>
    </xf>
    <xf numFmtId="165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 applyProtection="1">
      <alignment horizontal="left"/>
      <protection locked="0"/>
    </xf>
    <xf numFmtId="165" fontId="1" fillId="0" borderId="11" xfId="0" applyNumberFormat="1" applyFont="1" applyBorder="1" applyAlignment="1" applyProtection="1">
      <alignment horizontal="center"/>
      <protection locked="0"/>
    </xf>
    <xf numFmtId="0" fontId="24" fillId="0" borderId="0" xfId="0" applyFont="1" applyAlignment="1">
      <alignment horizontal="centerContinuous"/>
    </xf>
    <xf numFmtId="167" fontId="1" fillId="0" borderId="11" xfId="0" applyNumberFormat="1" applyFont="1" applyBorder="1" applyAlignment="1" applyProtection="1">
      <alignment horizontal="center"/>
      <protection locked="0"/>
    </xf>
    <xf numFmtId="0" fontId="24" fillId="0" borderId="0" xfId="0" applyFont="1" applyAlignment="1">
      <alignment horizontal="right"/>
    </xf>
    <xf numFmtId="0" fontId="1" fillId="0" borderId="11" xfId="0" applyFont="1" applyBorder="1" applyAlignment="1" applyProtection="1">
      <alignment horizontal="center"/>
      <protection locked="0"/>
    </xf>
    <xf numFmtId="0" fontId="52" fillId="0" borderId="0" xfId="0" applyFont="1"/>
    <xf numFmtId="0" fontId="51" fillId="0" borderId="0" xfId="0" applyFont="1"/>
    <xf numFmtId="0" fontId="1" fillId="0" borderId="11" xfId="0" applyFont="1" applyBorder="1" applyAlignment="1">
      <alignment horizontal="right"/>
    </xf>
    <xf numFmtId="0" fontId="1" fillId="0" borderId="130" xfId="0" applyFont="1" applyBorder="1" applyAlignment="1">
      <alignment horizontal="left"/>
    </xf>
    <xf numFmtId="0" fontId="1" fillId="0" borderId="74" xfId="0" applyFont="1" applyBorder="1" applyAlignment="1">
      <alignment horizontal="left"/>
    </xf>
    <xf numFmtId="0" fontId="24" fillId="0" borderId="0" xfId="0" applyFont="1" applyProtection="1">
      <protection locked="0"/>
    </xf>
    <xf numFmtId="0" fontId="23" fillId="0" borderId="0" xfId="0" applyFont="1" applyProtection="1"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right"/>
      <protection locked="0"/>
    </xf>
    <xf numFmtId="173" fontId="1" fillId="0" borderId="11" xfId="0" applyNumberFormat="1" applyFont="1" applyBorder="1" applyAlignment="1" applyProtection="1">
      <alignment horizontal="center"/>
      <protection locked="0"/>
    </xf>
    <xf numFmtId="173" fontId="23" fillId="0" borderId="11" xfId="0" applyNumberFormat="1" applyFont="1" applyBorder="1" applyAlignment="1" applyProtection="1">
      <alignment horizontal="center"/>
      <protection locked="0"/>
    </xf>
    <xf numFmtId="173" fontId="1" fillId="0" borderId="11" xfId="0" applyNumberFormat="1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7" fillId="0" borderId="64" xfId="0" applyFont="1" applyBorder="1"/>
    <xf numFmtId="0" fontId="7" fillId="0" borderId="78" xfId="0" applyFont="1" applyBorder="1"/>
    <xf numFmtId="0" fontId="48" fillId="0" borderId="0" xfId="0" applyFont="1"/>
    <xf numFmtId="0" fontId="1" fillId="0" borderId="55" xfId="0" applyFont="1" applyBorder="1" applyAlignment="1">
      <alignment horizontal="center"/>
    </xf>
    <xf numFmtId="0" fontId="55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55" fillId="0" borderId="11" xfId="0" applyFont="1" applyBorder="1" applyAlignment="1">
      <alignment horizontal="right" vertical="top"/>
    </xf>
    <xf numFmtId="0" fontId="1" fillId="0" borderId="11" xfId="0" applyFont="1" applyBorder="1" applyAlignment="1">
      <alignment horizontal="center" vertical="center"/>
    </xf>
    <xf numFmtId="0" fontId="1" fillId="0" borderId="54" xfId="0" applyFont="1" applyBorder="1"/>
    <xf numFmtId="0" fontId="10" fillId="0" borderId="0" xfId="0" applyFont="1" applyAlignment="1">
      <alignment horizontal="center"/>
    </xf>
    <xf numFmtId="0" fontId="24" fillId="0" borderId="49" xfId="0" applyFont="1" applyBorder="1" applyAlignment="1">
      <alignment horizontal="left"/>
    </xf>
    <xf numFmtId="0" fontId="24" fillId="0" borderId="50" xfId="0" applyFont="1" applyBorder="1" applyAlignment="1">
      <alignment horizontal="left"/>
    </xf>
    <xf numFmtId="0" fontId="1" fillId="0" borderId="5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3" fillId="0" borderId="49" xfId="0" applyFont="1" applyBorder="1" applyAlignment="1">
      <alignment horizontal="right"/>
    </xf>
    <xf numFmtId="0" fontId="23" fillId="0" borderId="50" xfId="0" applyFont="1" applyBorder="1" applyAlignment="1">
      <alignment horizontal="right"/>
    </xf>
    <xf numFmtId="0" fontId="1" fillId="0" borderId="50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24" fillId="0" borderId="52" xfId="0" applyFont="1" applyBorder="1" applyAlignment="1">
      <alignment horizontal="left"/>
    </xf>
    <xf numFmtId="0" fontId="24" fillId="0" borderId="53" xfId="0" applyFont="1" applyBorder="1" applyAlignment="1">
      <alignment horizontal="left"/>
    </xf>
    <xf numFmtId="0" fontId="1" fillId="0" borderId="13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3" fillId="0" borderId="62" xfId="0" applyFont="1" applyBorder="1" applyAlignment="1">
      <alignment horizontal="right"/>
    </xf>
    <xf numFmtId="0" fontId="23" fillId="0" borderId="14" xfId="0" applyFont="1" applyBorder="1" applyAlignment="1">
      <alignment horizontal="righ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24" fillId="0" borderId="1" xfId="0" applyFont="1" applyBorder="1"/>
    <xf numFmtId="0" fontId="1" fillId="0" borderId="2" xfId="0" applyFont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10" xfId="0" applyFont="1" applyBorder="1" applyAlignment="1" applyProtection="1">
      <alignment horizontal="left"/>
      <protection locked="0"/>
    </xf>
    <xf numFmtId="0" fontId="23" fillId="0" borderId="11" xfId="0" applyFont="1" applyBorder="1" applyAlignment="1" applyProtection="1">
      <alignment horizontal="left"/>
      <protection locked="0"/>
    </xf>
    <xf numFmtId="0" fontId="1" fillId="0" borderId="16" xfId="0" applyFont="1" applyBorder="1" applyAlignment="1">
      <alignment horizontal="left"/>
    </xf>
    <xf numFmtId="0" fontId="23" fillId="0" borderId="52" xfId="0" applyFont="1" applyBorder="1" applyAlignment="1">
      <alignment horizontal="right"/>
    </xf>
    <xf numFmtId="0" fontId="23" fillId="0" borderId="53" xfId="0" applyFont="1" applyBorder="1" applyAlignment="1">
      <alignment horizontal="right"/>
    </xf>
    <xf numFmtId="0" fontId="1" fillId="0" borderId="53" xfId="0" applyFont="1" applyBorder="1" applyAlignment="1">
      <alignment horizontal="left"/>
    </xf>
    <xf numFmtId="0" fontId="1" fillId="0" borderId="57" xfId="0" applyFont="1" applyBorder="1" applyAlignment="1">
      <alignment horizontal="left"/>
    </xf>
    <xf numFmtId="0" fontId="24" fillId="0" borderId="132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24" fillId="0" borderId="133" xfId="0" applyFont="1" applyBorder="1" applyAlignment="1">
      <alignment horizontal="center" vertical="center" wrapText="1"/>
    </xf>
    <xf numFmtId="0" fontId="24" fillId="8" borderId="71" xfId="0" applyFont="1" applyFill="1" applyBorder="1" applyAlignment="1">
      <alignment horizontal="center" vertical="center" wrapText="1"/>
    </xf>
    <xf numFmtId="0" fontId="24" fillId="8" borderId="134" xfId="0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/>
    </xf>
    <xf numFmtId="0" fontId="24" fillId="0" borderId="58" xfId="0" applyFont="1" applyBorder="1" applyAlignment="1">
      <alignment horizontal="center"/>
    </xf>
    <xf numFmtId="0" fontId="24" fillId="0" borderId="59" xfId="0" applyFont="1" applyBorder="1" applyAlignment="1">
      <alignment horizontal="center"/>
    </xf>
    <xf numFmtId="0" fontId="52" fillId="0" borderId="27" xfId="0" applyFont="1" applyBorder="1" applyAlignment="1">
      <alignment horizontal="center"/>
    </xf>
    <xf numFmtId="0" fontId="52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24" fillId="0" borderId="27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1" fillId="0" borderId="135" xfId="0" applyFont="1" applyBorder="1" applyAlignment="1">
      <alignment horizontal="center"/>
    </xf>
    <xf numFmtId="0" fontId="1" fillId="0" borderId="136" xfId="0" applyFont="1" applyBorder="1" applyAlignment="1">
      <alignment horizontal="center"/>
    </xf>
    <xf numFmtId="0" fontId="1" fillId="0" borderId="137" xfId="0" applyFont="1" applyBorder="1" applyAlignment="1">
      <alignment horizontal="center"/>
    </xf>
    <xf numFmtId="0" fontId="35" fillId="0" borderId="62" xfId="0" applyFont="1" applyBorder="1" applyAlignment="1" applyProtection="1">
      <alignment horizontal="center"/>
      <protection locked="0"/>
    </xf>
    <xf numFmtId="0" fontId="35" fillId="0" borderId="60" xfId="0" applyFont="1" applyBorder="1" applyAlignment="1" applyProtection="1">
      <alignment horizontal="center"/>
      <protection locked="0"/>
    </xf>
    <xf numFmtId="0" fontId="35" fillId="0" borderId="61" xfId="0" applyFont="1" applyBorder="1" applyAlignment="1" applyProtection="1">
      <alignment horizontal="center"/>
      <protection locked="0"/>
    </xf>
    <xf numFmtId="0" fontId="35" fillId="0" borderId="14" xfId="0" applyFont="1" applyBorder="1" applyAlignment="1" applyProtection="1">
      <alignment horizontal="center"/>
      <protection locked="0"/>
    </xf>
    <xf numFmtId="0" fontId="35" fillId="0" borderId="60" xfId="0" applyFont="1" applyBorder="1" applyAlignment="1" applyProtection="1">
      <alignment horizontal="center" wrapText="1"/>
      <protection locked="0"/>
    </xf>
    <xf numFmtId="0" fontId="1" fillId="0" borderId="61" xfId="0" applyFont="1" applyBorder="1" applyAlignment="1">
      <alignment horizontal="center" wrapText="1"/>
    </xf>
    <xf numFmtId="0" fontId="1" fillId="0" borderId="138" xfId="0" applyFont="1" applyBorder="1" applyAlignment="1">
      <alignment horizontal="center"/>
    </xf>
    <xf numFmtId="0" fontId="1" fillId="0" borderId="139" xfId="0" applyFont="1" applyBorder="1" applyAlignment="1">
      <alignment horizontal="center"/>
    </xf>
    <xf numFmtId="0" fontId="35" fillId="0" borderId="52" xfId="0" applyFont="1" applyBorder="1" applyAlignment="1" applyProtection="1">
      <alignment horizontal="center"/>
      <protection locked="0"/>
    </xf>
    <xf numFmtId="0" fontId="35" fillId="0" borderId="131" xfId="0" applyFont="1" applyBorder="1" applyAlignment="1" applyProtection="1">
      <alignment horizontal="center"/>
      <protection locked="0"/>
    </xf>
    <xf numFmtId="0" fontId="35" fillId="0" borderId="79" xfId="0" applyFont="1" applyBorder="1" applyAlignment="1" applyProtection="1">
      <alignment horizontal="center"/>
      <protection locked="0"/>
    </xf>
    <xf numFmtId="0" fontId="35" fillId="0" borderId="53" xfId="0" applyFont="1" applyBorder="1" applyAlignment="1" applyProtection="1">
      <alignment horizontal="center"/>
      <protection locked="0"/>
    </xf>
    <xf numFmtId="0" fontId="35" fillId="0" borderId="131" xfId="0" applyFont="1" applyBorder="1" applyAlignment="1" applyProtection="1">
      <alignment horizontal="center" wrapText="1"/>
      <protection locked="0"/>
    </xf>
    <xf numFmtId="0" fontId="35" fillId="0" borderId="79" xfId="0" applyFont="1" applyBorder="1" applyAlignment="1" applyProtection="1">
      <alignment horizontal="center" wrapText="1"/>
      <protection locked="0"/>
    </xf>
    <xf numFmtId="0" fontId="1" fillId="0" borderId="140" xfId="0" applyFont="1" applyBorder="1" applyAlignment="1">
      <alignment horizontal="center"/>
    </xf>
    <xf numFmtId="0" fontId="1" fillId="0" borderId="141" xfId="0" applyFont="1" applyBorder="1" applyAlignment="1">
      <alignment horizontal="center"/>
    </xf>
    <xf numFmtId="0" fontId="1" fillId="0" borderId="142" xfId="0" applyFont="1" applyBorder="1" applyAlignment="1">
      <alignment horizontal="center"/>
    </xf>
    <xf numFmtId="0" fontId="35" fillId="0" borderId="0" xfId="0" applyFont="1" applyAlignment="1" applyProtection="1">
      <alignment horizontal="center"/>
      <protection locked="0"/>
    </xf>
    <xf numFmtId="0" fontId="35" fillId="0" borderId="0" xfId="0" applyFont="1" applyProtection="1">
      <protection locked="0"/>
    </xf>
    <xf numFmtId="0" fontId="56" fillId="0" borderId="0" xfId="0" applyFont="1" applyAlignment="1" applyProtection="1">
      <alignment horizontal="left"/>
      <protection locked="0"/>
    </xf>
    <xf numFmtId="0" fontId="56" fillId="0" borderId="5" xfId="0" applyFont="1" applyBorder="1" applyAlignment="1" applyProtection="1">
      <alignment horizontal="left"/>
      <protection locked="0"/>
    </xf>
    <xf numFmtId="0" fontId="29" fillId="0" borderId="0" xfId="0" applyFont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58" fillId="0" borderId="2" xfId="0" applyFont="1" applyBorder="1" applyAlignment="1">
      <alignment horizontal="center"/>
    </xf>
    <xf numFmtId="0" fontId="57" fillId="0" borderId="20" xfId="0" applyFont="1" applyBorder="1" applyAlignment="1">
      <alignment horizontal="center"/>
    </xf>
    <xf numFmtId="0" fontId="29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1" xfId="0" applyFont="1" applyBorder="1" applyAlignment="1">
      <alignment horizontal="center"/>
    </xf>
    <xf numFmtId="0" fontId="23" fillId="0" borderId="73" xfId="0" applyFont="1" applyBorder="1" applyAlignment="1">
      <alignment horizontal="left"/>
    </xf>
    <xf numFmtId="0" fontId="24" fillId="0" borderId="73" xfId="0" applyFont="1" applyBorder="1" applyAlignment="1">
      <alignment horizontal="center" vertical="center" wrapText="1"/>
    </xf>
    <xf numFmtId="0" fontId="1" fillId="0" borderId="143" xfId="0" applyFont="1" applyBorder="1" applyAlignment="1">
      <alignment horizontal="center" vertical="center" wrapText="1"/>
    </xf>
    <xf numFmtId="0" fontId="24" fillId="0" borderId="144" xfId="0" applyFont="1" applyBorder="1" applyAlignment="1">
      <alignment horizontal="center" vertical="center" wrapText="1"/>
    </xf>
    <xf numFmtId="0" fontId="1" fillId="0" borderId="144" xfId="0" applyFont="1" applyBorder="1" applyAlignment="1">
      <alignment horizontal="center" vertical="center" wrapText="1"/>
    </xf>
    <xf numFmtId="0" fontId="24" fillId="0" borderId="145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left" wrapText="1"/>
    </xf>
    <xf numFmtId="0" fontId="1" fillId="0" borderId="29" xfId="0" applyFont="1" applyBorder="1" applyAlignment="1">
      <alignment horizontal="left" wrapText="1"/>
    </xf>
    <xf numFmtId="0" fontId="52" fillId="0" borderId="27" xfId="0" applyFont="1" applyBorder="1" applyAlignment="1">
      <alignment horizontal="center" wrapText="1"/>
    </xf>
    <xf numFmtId="165" fontId="52" fillId="0" borderId="27" xfId="0" applyNumberFormat="1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4" fillId="0" borderId="70" xfId="0" applyFont="1" applyBorder="1" applyAlignment="1">
      <alignment horizontal="left" wrapText="1"/>
    </xf>
    <xf numFmtId="0" fontId="1" fillId="0" borderId="61" xfId="0" applyFont="1" applyBorder="1" applyAlignment="1">
      <alignment horizontal="left" wrapText="1"/>
    </xf>
    <xf numFmtId="0" fontId="35" fillId="0" borderId="14" xfId="0" applyFont="1" applyBorder="1" applyAlignment="1" applyProtection="1">
      <alignment horizontal="center" wrapText="1"/>
      <protection locked="0"/>
    </xf>
    <xf numFmtId="165" fontId="35" fillId="0" borderId="14" xfId="0" applyNumberFormat="1" applyFont="1" applyBorder="1" applyAlignment="1" applyProtection="1">
      <alignment horizontal="center"/>
      <protection locked="0"/>
    </xf>
    <xf numFmtId="0" fontId="35" fillId="0" borderId="15" xfId="0" applyFont="1" applyBorder="1" applyAlignment="1" applyProtection="1">
      <alignment horizontal="center"/>
      <protection locked="0"/>
    </xf>
    <xf numFmtId="0" fontId="35" fillId="0" borderId="146" xfId="0" applyFont="1" applyBorder="1" applyAlignment="1" applyProtection="1">
      <alignment horizontal="left" wrapText="1"/>
      <protection locked="0"/>
    </xf>
    <xf numFmtId="0" fontId="1" fillId="0" borderId="79" xfId="0" applyFont="1" applyBorder="1" applyAlignment="1">
      <alignment horizontal="left" wrapText="1"/>
    </xf>
    <xf numFmtId="0" fontId="35" fillId="0" borderId="53" xfId="0" applyFont="1" applyBorder="1" applyAlignment="1" applyProtection="1">
      <alignment horizontal="center" wrapText="1"/>
      <protection locked="0"/>
    </xf>
    <xf numFmtId="165" fontId="35" fillId="0" borderId="53" xfId="0" applyNumberFormat="1" applyFont="1" applyBorder="1" applyAlignment="1" applyProtection="1">
      <alignment horizontal="center"/>
      <protection locked="0"/>
    </xf>
    <xf numFmtId="0" fontId="35" fillId="0" borderId="57" xfId="0" applyFont="1" applyBorder="1" applyAlignment="1" applyProtection="1">
      <alignment horizontal="center"/>
      <protection locked="0"/>
    </xf>
    <xf numFmtId="165" fontId="35" fillId="0" borderId="0" xfId="0" applyNumberFormat="1" applyFont="1" applyProtection="1">
      <protection locked="0"/>
    </xf>
    <xf numFmtId="0" fontId="56" fillId="0" borderId="73" xfId="0" applyFont="1" applyBorder="1" applyAlignment="1" applyProtection="1">
      <alignment horizontal="center" vertical="center"/>
      <protection locked="0"/>
    </xf>
    <xf numFmtId="0" fontId="56" fillId="0" borderId="74" xfId="0" applyFont="1" applyBorder="1" applyAlignment="1">
      <alignment horizontal="center" vertical="center"/>
    </xf>
    <xf numFmtId="0" fontId="56" fillId="0" borderId="75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0" fontId="23" fillId="3" borderId="73" xfId="0" applyFont="1" applyFill="1" applyBorder="1" applyAlignment="1">
      <alignment horizontal="left"/>
    </xf>
    <xf numFmtId="0" fontId="1" fillId="3" borderId="74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7" fillId="9" borderId="0" xfId="0" applyFont="1" applyFill="1"/>
    <xf numFmtId="0" fontId="1" fillId="9" borderId="0" xfId="0" applyFont="1" applyFill="1"/>
    <xf numFmtId="0" fontId="52" fillId="9" borderId="0" xfId="0" applyFont="1" applyFill="1" applyAlignment="1">
      <alignment vertical="top"/>
    </xf>
    <xf numFmtId="0" fontId="7" fillId="9" borderId="0" xfId="0" applyFont="1" applyFill="1" applyAlignment="1">
      <alignment horizontal="center"/>
    </xf>
    <xf numFmtId="0" fontId="52" fillId="9" borderId="0" xfId="0" applyFont="1" applyFill="1" applyAlignment="1">
      <alignment horizontal="left" vertical="top" wrapText="1"/>
    </xf>
    <xf numFmtId="174" fontId="7" fillId="9" borderId="0" xfId="0" applyNumberFormat="1" applyFont="1" applyFill="1" applyAlignment="1">
      <alignment horizontal="center"/>
    </xf>
    <xf numFmtId="0" fontId="7" fillId="0" borderId="0" xfId="0" applyFont="1" applyAlignment="1">
      <alignment wrapText="1"/>
    </xf>
    <xf numFmtId="0" fontId="7" fillId="9" borderId="72" xfId="0" applyFont="1" applyFill="1" applyBorder="1" applyAlignment="1">
      <alignment horizontal="center"/>
    </xf>
    <xf numFmtId="0" fontId="23" fillId="0" borderId="6" xfId="0" applyFont="1" applyBorder="1" applyAlignment="1">
      <alignment horizontal="left" wrapText="1"/>
    </xf>
    <xf numFmtId="0" fontId="2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168" fontId="7" fillId="10" borderId="7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16" fontId="7" fillId="9" borderId="72" xfId="0" applyNumberFormat="1" applyFont="1" applyFill="1" applyBorder="1" applyAlignment="1">
      <alignment horizontal="center"/>
    </xf>
    <xf numFmtId="0" fontId="6" fillId="0" borderId="72" xfId="0" applyFont="1" applyBorder="1" applyAlignment="1">
      <alignment horizontal="left" vertical="top" wrapText="1"/>
    </xf>
    <xf numFmtId="0" fontId="1" fillId="0" borderId="72" xfId="0" applyFont="1" applyBorder="1" applyAlignment="1">
      <alignment horizontal="left" vertical="top" wrapText="1"/>
    </xf>
    <xf numFmtId="168" fontId="7" fillId="9" borderId="72" xfId="0" applyNumberFormat="1" applyFont="1" applyFill="1" applyBorder="1" applyAlignment="1">
      <alignment horizontal="center"/>
    </xf>
    <xf numFmtId="9" fontId="7" fillId="10" borderId="147" xfId="0" applyNumberFormat="1" applyFont="1" applyFill="1" applyBorder="1" applyAlignment="1">
      <alignment horizontal="center"/>
    </xf>
    <xf numFmtId="0" fontId="1" fillId="0" borderId="72" xfId="0" applyFont="1" applyBorder="1" applyAlignment="1">
      <alignment horizontal="left" vertical="center" wrapText="1"/>
    </xf>
    <xf numFmtId="9" fontId="7" fillId="10" borderId="7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3" fontId="7" fillId="9" borderId="72" xfId="0" applyNumberFormat="1" applyFont="1" applyFill="1" applyBorder="1" applyAlignment="1">
      <alignment horizontal="center"/>
    </xf>
    <xf numFmtId="1" fontId="7" fillId="10" borderId="72" xfId="0" applyNumberFormat="1" applyFont="1" applyFill="1" applyBorder="1" applyAlignment="1">
      <alignment horizontal="center"/>
    </xf>
    <xf numFmtId="0" fontId="6" fillId="0" borderId="72" xfId="0" applyFont="1" applyBorder="1" applyAlignment="1">
      <alignment horizontal="left" vertical="center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wrapText="1"/>
    </xf>
    <xf numFmtId="2" fontId="7" fillId="10" borderId="72" xfId="0" applyNumberFormat="1" applyFont="1" applyFill="1" applyBorder="1" applyAlignment="1">
      <alignment horizontal="center"/>
    </xf>
    <xf numFmtId="166" fontId="7" fillId="10" borderId="72" xfId="0" applyNumberFormat="1" applyFont="1" applyFill="1" applyBorder="1" applyAlignment="1">
      <alignment horizontal="center"/>
    </xf>
    <xf numFmtId="0" fontId="6" fillId="0" borderId="0" xfId="0" applyFont="1" applyAlignment="1">
      <alignment wrapText="1"/>
    </xf>
    <xf numFmtId="9" fontId="7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center" wrapText="1"/>
    </xf>
    <xf numFmtId="3" fontId="7" fillId="10" borderId="72" xfId="0" applyNumberFormat="1" applyFont="1" applyFill="1" applyBorder="1" applyAlignment="1">
      <alignment horizontal="center"/>
    </xf>
    <xf numFmtId="0" fontId="7" fillId="0" borderId="6" xfId="0" applyFont="1" applyBorder="1" applyAlignment="1">
      <alignment vertical="center" wrapText="1"/>
    </xf>
    <xf numFmtId="9" fontId="52" fillId="0" borderId="0" xfId="0" applyNumberFormat="1" applyFont="1" applyAlignment="1">
      <alignment horizontal="left"/>
    </xf>
    <xf numFmtId="0" fontId="7" fillId="0" borderId="10" xfId="0" applyFont="1" applyBorder="1" applyAlignment="1">
      <alignment vertical="center" wrapText="1"/>
    </xf>
    <xf numFmtId="0" fontId="7" fillId="10" borderId="72" xfId="0" applyFont="1" applyFill="1" applyBorder="1" applyAlignment="1">
      <alignment horizontal="center"/>
    </xf>
    <xf numFmtId="9" fontId="7" fillId="0" borderId="0" xfId="0" applyNumberFormat="1" applyFont="1" applyAlignment="1">
      <alignment horizontal="left"/>
    </xf>
    <xf numFmtId="0" fontId="59" fillId="0" borderId="0" xfId="0" applyFont="1"/>
    <xf numFmtId="0" fontId="7" fillId="5" borderId="72" xfId="0" applyFont="1" applyFill="1" applyBorder="1" applyAlignment="1">
      <alignment horizontal="center" wrapText="1"/>
    </xf>
    <xf numFmtId="9" fontId="7" fillId="5" borderId="72" xfId="0" applyNumberFormat="1" applyFont="1" applyFill="1" applyBorder="1" applyAlignment="1">
      <alignment horizontal="center"/>
    </xf>
    <xf numFmtId="0" fontId="7" fillId="1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7" fillId="10" borderId="1" xfId="0" applyFont="1" applyFill="1" applyBorder="1" applyAlignment="1">
      <alignment wrapText="1"/>
    </xf>
    <xf numFmtId="0" fontId="1" fillId="10" borderId="20" xfId="0" applyFont="1" applyFill="1" applyBorder="1"/>
    <xf numFmtId="0" fontId="1" fillId="0" borderId="6" xfId="0" applyFont="1" applyBorder="1" applyAlignment="1">
      <alignment wrapText="1"/>
    </xf>
    <xf numFmtId="1" fontId="7" fillId="9" borderId="72" xfId="0" applyNumberFormat="1" applyFont="1" applyFill="1" applyBorder="1" applyAlignment="1">
      <alignment horizontal="center"/>
    </xf>
    <xf numFmtId="3" fontId="7" fillId="10" borderId="17" xfId="0" applyNumberFormat="1" applyFont="1" applyFill="1" applyBorder="1" applyAlignment="1">
      <alignment horizontal="center"/>
    </xf>
    <xf numFmtId="1" fontId="7" fillId="9" borderId="7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3" fontId="7" fillId="10" borderId="72" xfId="0" applyNumberFormat="1" applyFont="1" applyFill="1" applyBorder="1" applyAlignment="1">
      <alignment horizontal="center" vertical="center"/>
    </xf>
    <xf numFmtId="175" fontId="7" fillId="10" borderId="72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wrapText="1"/>
    </xf>
    <xf numFmtId="0" fontId="7" fillId="5" borderId="72" xfId="0" applyFont="1" applyFill="1" applyBorder="1" applyAlignment="1">
      <alignment horizontal="center"/>
    </xf>
    <xf numFmtId="0" fontId="7" fillId="5" borderId="10" xfId="0" applyFont="1" applyFill="1" applyBorder="1" applyAlignment="1">
      <alignment vertical="center" wrapText="1"/>
    </xf>
    <xf numFmtId="9" fontId="7" fillId="11" borderId="72" xfId="0" applyNumberFormat="1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indexed="1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ont>
        <condense/>
        <extend/>
      </font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7.xml"/><Relationship Id="rId6" Type="http://schemas.openxmlformats.org/officeDocument/2006/relationships/worksheet" Target="worksheets/sheet66.xml"/><Relationship Id="rId7" Type="http://schemas.openxmlformats.org/officeDocument/2006/relationships/worksheet" Target="worksheets/sheet48.xml"/><Relationship Id="rId8" Type="http://schemas.openxmlformats.org/officeDocument/2006/relationships/worksheet" Target="worksheets/sheet63.xml"/><Relationship Id="rId9" Type="http://schemas.openxmlformats.org/officeDocument/2006/relationships/worksheet" Target="worksheets/sheet69.xml"/><Relationship Id="rId10" Type="http://schemas.openxmlformats.org/officeDocument/2006/relationships/worksheet" Target="worksheets/sheet70.xml"/><Relationship Id="rId11" Type="http://schemas.openxmlformats.org/officeDocument/2006/relationships/worksheet" Target="worksheets/sheet71.xml"/><Relationship Id="rId12" Type="http://schemas.openxmlformats.org/officeDocument/2006/relationships/worksheet" Target="worksheets/sheet73.xml"/><Relationship Id="rId13" Type="http://schemas.openxmlformats.org/officeDocument/2006/relationships/worksheet" Target="worksheets/sheet74.xml"/><Relationship Id="rId14" Type="http://schemas.openxmlformats.org/officeDocument/2006/relationships/worksheet" Target="worksheets/sheet72.xml"/><Relationship Id="rId15" Type="http://schemas.openxmlformats.org/officeDocument/2006/relationships/worksheet" Target="worksheets/sheet59.xml"/><Relationship Id="rId16" Type="http://schemas.openxmlformats.org/officeDocument/2006/relationships/worksheet" Target="worksheets/sheet79.xml"/><Relationship Id="rId17" Type="http://schemas.openxmlformats.org/officeDocument/2006/relationships/worksheet" Target="worksheets/sheet75.xml"/><Relationship Id="rId18" Type="http://schemas.openxmlformats.org/officeDocument/2006/relationships/worksheet" Target="worksheets/sheet76.xml"/><Relationship Id="rId19" Type="http://schemas.openxmlformats.org/officeDocument/2006/relationships/worksheet" Target="worksheets/sheet77.xml"/><Relationship Id="rId20" Type="http://schemas.openxmlformats.org/officeDocument/2006/relationships/worksheet" Target="worksheets/sheet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comments" Target="../comments78.xml"/><Relationship Id="rId2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 zoomScale="75" zoomScaleNormal="100"/>
  </sheetViews>
  <sheetFormatPr defaultRowHeight="12.75" outlineLevelRow="0" outlineLevelCol="0" x14ac:dyDescent="0" customHeight="1"/>
  <cols>
    <col min="2" max="2" width="27.28515625" customWidth="1"/>
    <col min="3" max="3" width="45.5703125" customWidth="1"/>
  </cols>
  <sheetData>
    <row r="1" spans="1:2" x14ac:dyDescent="0.25">
      <c r="A1" t="s">
        <v>0</v>
      </c>
      <c r="B1" s="1">
        <v>38930</v>
      </c>
    </row>
    <row r="2" ht="9.95" customHeight="1" x14ac:dyDescent="0.25"/>
    <row r="3" ht="9.95" customHeight="1" spans="1:3" x14ac:dyDescent="0.25">
      <c r="A3" s="2"/>
      <c r="B3" s="3" t="s">
        <v>1</v>
      </c>
      <c r="C3" s="4"/>
    </row>
    <row r="4" ht="9.95" customHeight="1" spans="2:3" x14ac:dyDescent="0.25">
      <c r="B4" s="3" t="s">
        <v>1</v>
      </c>
      <c r="C4" s="5"/>
    </row>
    <row r="5" ht="9.95" customHeight="1" spans="1:3" x14ac:dyDescent="0.25">
      <c r="A5" s="2"/>
      <c r="B5" s="3" t="s">
        <v>1</v>
      </c>
      <c r="C5" s="4"/>
    </row>
    <row r="6" ht="30" customHeight="1" spans="1:3" x14ac:dyDescent="0.25">
      <c r="A6" s="4"/>
      <c r="B6" s="6" t="s">
        <v>2</v>
      </c>
      <c r="C6" s="6"/>
    </row>
    <row r="7" ht="30" customHeight="1" spans="2:3" x14ac:dyDescent="0.25">
      <c r="B7" s="6" t="s">
        <v>3</v>
      </c>
      <c r="C7" s="6"/>
    </row>
    <row r="8" ht="30" customHeight="1" spans="2:3" x14ac:dyDescent="0.25">
      <c r="B8" s="7" t="s">
        <v>4</v>
      </c>
      <c r="C8" s="8"/>
    </row>
    <row r="9" ht="12" customHeight="1" spans="2:3" x14ac:dyDescent="0.25">
      <c r="B9" s="9"/>
      <c r="C9" s="10"/>
    </row>
    <row r="10" ht="20.1" customHeight="1" spans="2:3" x14ac:dyDescent="0.25">
      <c r="B10" s="11" t="s">
        <v>5</v>
      </c>
      <c r="C10" s="12" t="s">
        <v>1</v>
      </c>
    </row>
    <row r="11" ht="20.1" customHeight="1" spans="2:3" x14ac:dyDescent="0.25">
      <c r="B11" s="11" t="s">
        <v>6</v>
      </c>
      <c r="C11" s="12" t="s">
        <v>1</v>
      </c>
    </row>
    <row r="12" ht="20.1" customHeight="1" spans="2:3" x14ac:dyDescent="0.25">
      <c r="B12" s="11" t="s">
        <v>7</v>
      </c>
      <c r="C12" s="12"/>
    </row>
    <row r="13" ht="20.1" customHeight="1" spans="2:3" x14ac:dyDescent="0.25">
      <c r="B13" s="11" t="s">
        <v>8</v>
      </c>
      <c r="C13" s="12"/>
    </row>
    <row r="14" ht="20.1" customHeight="1" spans="2:3" x14ac:dyDescent="0.25">
      <c r="B14" s="11" t="s">
        <v>9</v>
      </c>
      <c r="C14" s="12"/>
    </row>
    <row r="15" ht="20.1" customHeight="1" spans="2:2" x14ac:dyDescent="0.25">
      <c r="B15" s="11"/>
    </row>
    <row r="16" ht="20.1" customHeight="1" spans="2:3" x14ac:dyDescent="0.25">
      <c r="B16" s="11" t="s">
        <v>10</v>
      </c>
      <c r="C16" s="12"/>
    </row>
    <row r="17" ht="20.1" customHeight="1" spans="2:3" x14ac:dyDescent="0.25">
      <c r="B17" s="11" t="s">
        <v>11</v>
      </c>
      <c r="C17" s="12"/>
    </row>
    <row r="18" ht="20.1" customHeight="1" spans="2:3" x14ac:dyDescent="0.25">
      <c r="B18" s="11" t="s">
        <v>12</v>
      </c>
      <c r="C18" s="12" t="s">
        <v>1</v>
      </c>
    </row>
    <row r="19" ht="20.1" customHeight="1" spans="2:2" x14ac:dyDescent="0.25">
      <c r="B19" s="11"/>
    </row>
    <row r="20" ht="20.1" customHeight="1" spans="2:3" x14ac:dyDescent="0.25">
      <c r="B20" s="11" t="s">
        <v>13</v>
      </c>
      <c r="C20" s="12"/>
    </row>
    <row r="21" ht="20.1" customHeight="1" spans="2:3" x14ac:dyDescent="0.25">
      <c r="B21" s="11" t="s">
        <v>14</v>
      </c>
      <c r="C21" s="12"/>
    </row>
    <row r="22" spans="2:2" x14ac:dyDescent="0.25">
      <c r="B22" s="13"/>
    </row>
    <row r="23" spans="2:2" x14ac:dyDescent="0.25">
      <c r="B23" s="13"/>
    </row>
    <row r="24" spans="2:2" x14ac:dyDescent="0.25">
      <c r="B24" s="13"/>
    </row>
    <row r="25" spans="2:2" x14ac:dyDescent="0.25">
      <c r="B25" s="13"/>
    </row>
  </sheetData>
  <mergeCells count="2">
    <mergeCell ref="B6:C6"/>
    <mergeCell ref="B7:C7"/>
  </mergeCells>
  <printOptions horizontalCentered="1"/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09"/>
  <sheetViews>
    <sheetView workbookViewId="0" zoomScale="100" zoomScaleNormal="100"/>
  </sheetViews>
  <sheetFormatPr defaultRowHeight="12.75" outlineLevelRow="0" outlineLevelCol="0" x14ac:dyDescent="0" customHeight="1"/>
  <cols>
    <col min="1" max="25" width="4" customWidth="1"/>
    <col min="26" max="28" width="10.7109375" customWidth="1"/>
    <col min="29" max="29" width="4" customWidth="1"/>
    <col min="30" max="30" width="9.7109375" customWidth="1"/>
    <col min="31" max="34" width="4" customWidth="1"/>
    <col min="36" max="38" width="10.7109375" customWidth="1"/>
  </cols>
  <sheetData>
    <row r="1" spans="1:34" x14ac:dyDescent="0.25">
      <c r="A1" s="101" t="s">
        <v>93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</row>
    <row r="2" spans="1:34" x14ac:dyDescent="0.25">
      <c r="A2" s="102" t="s">
        <v>94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</row>
    <row r="3" spans="1:34" x14ac:dyDescent="0.25">
      <c r="A3" s="102" t="s">
        <v>95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</row>
    <row r="4" spans="1:34" x14ac:dyDescent="0.25">
      <c r="A4" s="103"/>
      <c r="B4" s="104"/>
      <c r="C4" s="104"/>
      <c r="D4" s="104"/>
      <c r="E4" s="103"/>
      <c r="F4" s="103"/>
      <c r="G4" s="103"/>
      <c r="H4" s="103"/>
      <c r="I4" s="103"/>
      <c r="J4" s="103"/>
      <c r="K4" s="103"/>
      <c r="L4" s="103"/>
      <c r="M4" s="5"/>
      <c r="N4" s="5"/>
      <c r="O4" s="10"/>
      <c r="P4" s="10"/>
      <c r="Q4" s="10"/>
      <c r="R4" s="10"/>
      <c r="S4" s="10"/>
      <c r="T4" s="10"/>
      <c r="U4" s="10"/>
      <c r="V4" s="10"/>
      <c r="W4" s="10"/>
      <c r="X4" s="103"/>
      <c r="Y4" s="103"/>
      <c r="Z4" s="103"/>
      <c r="AA4" s="103"/>
      <c r="AB4" s="104"/>
      <c r="AC4" s="103"/>
      <c r="AD4" s="105"/>
      <c r="AE4" s="105"/>
      <c r="AF4" s="105"/>
      <c r="AG4" s="105"/>
      <c r="AH4" s="105"/>
    </row>
    <row r="5" spans="1:34" x14ac:dyDescent="0.25">
      <c r="A5" s="103" t="s">
        <v>96</v>
      </c>
      <c r="B5" s="103"/>
      <c r="C5" s="103"/>
      <c r="D5" s="106"/>
      <c r="E5" s="107"/>
      <c r="F5" s="107"/>
      <c r="G5" s="107"/>
      <c r="H5" s="107"/>
      <c r="I5" s="107"/>
      <c r="J5" s="107"/>
      <c r="K5" s="103"/>
      <c r="L5" s="103"/>
      <c r="M5" s="103" t="s">
        <v>97</v>
      </c>
      <c r="O5" s="10"/>
      <c r="P5" s="10"/>
      <c r="Q5" s="107"/>
      <c r="R5" s="107"/>
      <c r="S5" s="107"/>
      <c r="T5" s="107"/>
      <c r="U5" s="107"/>
      <c r="V5" s="107"/>
      <c r="W5" s="107"/>
      <c r="X5" s="103"/>
      <c r="Y5" s="103"/>
      <c r="Z5" s="103" t="s">
        <v>98</v>
      </c>
      <c r="AA5" s="103"/>
      <c r="AB5" s="108"/>
      <c r="AC5" s="108"/>
      <c r="AD5" s="10"/>
      <c r="AE5" s="105"/>
      <c r="AF5" s="105"/>
      <c r="AG5" s="105"/>
      <c r="AH5" s="105"/>
    </row>
    <row r="6" spans="1:34" x14ac:dyDescent="0.25">
      <c r="A6" s="103" t="s">
        <v>99</v>
      </c>
      <c r="B6" s="103"/>
      <c r="C6" s="103"/>
      <c r="D6" s="103"/>
      <c r="E6" s="103"/>
      <c r="F6" s="109"/>
      <c r="G6" s="110"/>
      <c r="H6" s="110"/>
      <c r="I6" s="110"/>
      <c r="J6" s="110"/>
      <c r="K6" s="103"/>
      <c r="L6" s="103"/>
      <c r="M6" s="103" t="s">
        <v>100</v>
      </c>
      <c r="N6" s="103"/>
      <c r="O6" s="103"/>
      <c r="P6" s="5"/>
      <c r="Q6" s="110"/>
      <c r="R6" s="110"/>
      <c r="S6" s="110"/>
      <c r="T6" s="110"/>
      <c r="U6" s="110"/>
      <c r="V6" s="110"/>
      <c r="W6" s="110"/>
      <c r="X6" s="103"/>
      <c r="Y6" s="103"/>
      <c r="Z6" s="103" t="s">
        <v>101</v>
      </c>
      <c r="AA6" s="103"/>
      <c r="AB6" s="106"/>
      <c r="AC6" s="107"/>
      <c r="AD6" s="107"/>
      <c r="AE6" s="107"/>
      <c r="AF6" s="107"/>
      <c r="AG6" s="107"/>
      <c r="AH6" s="107"/>
    </row>
    <row r="7" spans="1:34" x14ac:dyDescent="0.25">
      <c r="A7" s="103" t="s">
        <v>102</v>
      </c>
      <c r="B7" s="103"/>
      <c r="C7" s="106"/>
      <c r="D7" s="107"/>
      <c r="E7" s="107"/>
      <c r="F7" s="107"/>
      <c r="G7" s="107"/>
      <c r="H7" s="107"/>
      <c r="I7" s="107"/>
      <c r="J7" s="107"/>
      <c r="K7" s="103"/>
      <c r="L7" s="103"/>
      <c r="M7" s="103" t="s">
        <v>103</v>
      </c>
      <c r="N7" s="105"/>
      <c r="O7" s="105"/>
      <c r="P7" s="105"/>
      <c r="Q7" s="110"/>
      <c r="R7" s="110"/>
      <c r="S7" s="110"/>
      <c r="T7" s="110"/>
      <c r="U7" s="110"/>
      <c r="V7" s="110"/>
      <c r="W7" s="110"/>
      <c r="X7" s="103"/>
      <c r="Y7" s="103"/>
      <c r="Z7" s="103" t="s">
        <v>104</v>
      </c>
      <c r="AA7" s="103"/>
      <c r="AB7" s="111"/>
      <c r="AC7" s="112" t="s">
        <v>105</v>
      </c>
      <c r="AD7" s="113"/>
      <c r="AE7" s="114"/>
      <c r="AF7" s="114"/>
      <c r="AG7" s="114"/>
      <c r="AH7" s="114"/>
    </row>
    <row r="8" ht="29.25" customHeight="1" spans="1:34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</row>
    <row r="9" ht="12" customHeight="1" spans="1:34" x14ac:dyDescent="0.25">
      <c r="A9" s="115" t="s">
        <v>106</v>
      </c>
      <c r="B9" s="116"/>
      <c r="C9" s="116"/>
      <c r="D9" s="116" t="s">
        <v>107</v>
      </c>
      <c r="E9" s="116"/>
      <c r="F9" s="116"/>
      <c r="G9" s="117" t="s">
        <v>108</v>
      </c>
      <c r="H9" s="118"/>
      <c r="I9" s="119"/>
      <c r="J9" s="120" t="s">
        <v>109</v>
      </c>
      <c r="K9" s="120" t="s">
        <v>110</v>
      </c>
      <c r="L9" s="117" t="s">
        <v>111</v>
      </c>
      <c r="M9" s="118"/>
      <c r="N9" s="119"/>
      <c r="O9" s="121" t="s">
        <v>112</v>
      </c>
      <c r="P9" s="117" t="s">
        <v>113</v>
      </c>
      <c r="Q9" s="118"/>
      <c r="R9" s="119"/>
      <c r="S9" s="117" t="s">
        <v>114</v>
      </c>
      <c r="T9" s="118"/>
      <c r="U9" s="119"/>
      <c r="V9" s="120" t="s">
        <v>115</v>
      </c>
      <c r="W9" s="120" t="s">
        <v>116</v>
      </c>
      <c r="X9" s="117" t="s">
        <v>117</v>
      </c>
      <c r="Y9" s="118"/>
      <c r="Z9" s="119"/>
      <c r="AA9" s="117" t="s">
        <v>118</v>
      </c>
      <c r="AB9" s="118"/>
      <c r="AC9" s="119"/>
      <c r="AD9" s="122" t="s">
        <v>119</v>
      </c>
      <c r="AE9" s="122"/>
      <c r="AF9" s="122"/>
      <c r="AG9" s="122"/>
      <c r="AH9" s="123"/>
    </row>
    <row r="10" ht="28.5" customHeight="1" spans="1:34" x14ac:dyDescent="0.25">
      <c r="A10" s="124"/>
      <c r="B10" s="125"/>
      <c r="C10" s="125"/>
      <c r="D10" s="125"/>
      <c r="E10" s="125"/>
      <c r="F10" s="125"/>
      <c r="G10" s="126"/>
      <c r="H10" s="127"/>
      <c r="I10" s="128"/>
      <c r="J10" s="129"/>
      <c r="K10" s="129"/>
      <c r="L10" s="126"/>
      <c r="M10" s="127"/>
      <c r="N10" s="128"/>
      <c r="O10" s="130"/>
      <c r="P10" s="126"/>
      <c r="Q10" s="127"/>
      <c r="R10" s="128"/>
      <c r="S10" s="126"/>
      <c r="T10" s="127"/>
      <c r="U10" s="128"/>
      <c r="V10" s="129"/>
      <c r="W10" s="129"/>
      <c r="X10" s="126"/>
      <c r="Y10" s="127"/>
      <c r="Z10" s="128"/>
      <c r="AA10" s="126"/>
      <c r="AB10" s="127"/>
      <c r="AC10" s="128"/>
      <c r="AD10" s="131" t="s">
        <v>120</v>
      </c>
      <c r="AE10" s="132" t="s">
        <v>109</v>
      </c>
      <c r="AF10" s="132" t="s">
        <v>112</v>
      </c>
      <c r="AG10" s="132" t="s">
        <v>121</v>
      </c>
      <c r="AH10" s="133" t="s">
        <v>116</v>
      </c>
    </row>
    <row r="11" spans="1:34" x14ac:dyDescent="0.25">
      <c r="A11" s="134"/>
      <c r="B11" s="134"/>
      <c r="C11" s="134"/>
      <c r="D11" s="134"/>
      <c r="E11" s="134"/>
      <c r="F11" s="134"/>
      <c r="G11" s="134"/>
      <c r="H11" s="134"/>
      <c r="I11" s="134"/>
      <c r="J11" s="135">
        <v>0</v>
      </c>
      <c r="K11" s="135"/>
      <c r="L11" s="136"/>
      <c r="M11" s="137"/>
      <c r="N11" s="138"/>
      <c r="O11" s="139">
        <v>0</v>
      </c>
      <c r="P11" s="140"/>
      <c r="Q11" s="141"/>
      <c r="R11" s="142"/>
      <c r="S11" s="137"/>
      <c r="T11" s="137"/>
      <c r="U11" s="138"/>
      <c r="V11" s="135">
        <v>0</v>
      </c>
      <c r="W11" s="135">
        <f>SUM(J11*O11*V11)</f>
        <v>0</v>
      </c>
      <c r="X11" s="136"/>
      <c r="Y11" s="137"/>
      <c r="Z11" s="138"/>
      <c r="AA11" s="136"/>
      <c r="AB11" s="137"/>
      <c r="AC11" s="138"/>
      <c r="AD11" s="134"/>
      <c r="AE11" s="135">
        <v>0</v>
      </c>
      <c r="AF11" s="135">
        <v>0</v>
      </c>
      <c r="AG11" s="135">
        <v>0</v>
      </c>
      <c r="AH11" s="135">
        <f>SUM(AE11*AF11*AG11)</f>
        <v>0</v>
      </c>
    </row>
    <row r="12" spans="1:34" x14ac:dyDescent="0.25">
      <c r="A12" s="143"/>
      <c r="B12" s="143"/>
      <c r="C12" s="143"/>
      <c r="D12" s="143"/>
      <c r="E12" s="143"/>
      <c r="F12" s="143"/>
      <c r="G12" s="143"/>
      <c r="H12" s="143"/>
      <c r="I12" s="143"/>
      <c r="J12" s="144">
        <v>0</v>
      </c>
      <c r="K12" s="144"/>
      <c r="L12" s="145"/>
      <c r="M12" s="146"/>
      <c r="N12" s="147"/>
      <c r="O12" s="144">
        <v>0</v>
      </c>
      <c r="P12" s="145"/>
      <c r="Q12" s="148"/>
      <c r="R12" s="149"/>
      <c r="S12" s="146"/>
      <c r="T12" s="146"/>
      <c r="U12" s="147"/>
      <c r="V12" s="144">
        <v>0</v>
      </c>
      <c r="W12" s="144">
        <f t="shared" ref="W12:W26" si="0">SUM(J12*O12*V12)</f>
        <v>0</v>
      </c>
      <c r="X12" s="145"/>
      <c r="Y12" s="146"/>
      <c r="Z12" s="147"/>
      <c r="AA12" s="145"/>
      <c r="AB12" s="146"/>
      <c r="AC12" s="147"/>
      <c r="AD12" s="143"/>
      <c r="AE12" s="144">
        <v>0</v>
      </c>
      <c r="AF12" s="144">
        <v>0</v>
      </c>
      <c r="AG12" s="144">
        <v>0</v>
      </c>
      <c r="AH12" s="144">
        <f t="shared" ref="AH12:AH26" si="1">SUM(AE12*AF12*AG12)</f>
        <v>0</v>
      </c>
    </row>
    <row r="13" spans="1:34" x14ac:dyDescent="0.25">
      <c r="A13" s="143"/>
      <c r="B13" s="143"/>
      <c r="C13" s="143"/>
      <c r="D13" s="143"/>
      <c r="E13" s="143"/>
      <c r="F13" s="143"/>
      <c r="G13" s="143"/>
      <c r="H13" s="143"/>
      <c r="I13" s="143"/>
      <c r="J13" s="144">
        <v>0</v>
      </c>
      <c r="K13" s="144"/>
      <c r="L13" s="145"/>
      <c r="M13" s="146"/>
      <c r="N13" s="147"/>
      <c r="O13" s="144">
        <v>0</v>
      </c>
      <c r="P13" s="145"/>
      <c r="Q13" s="148"/>
      <c r="R13" s="149"/>
      <c r="S13" s="146"/>
      <c r="T13" s="146"/>
      <c r="U13" s="147"/>
      <c r="V13" s="144">
        <v>0</v>
      </c>
      <c r="W13" s="144">
        <f t="shared" si="0"/>
        <v>0</v>
      </c>
      <c r="X13" s="145"/>
      <c r="Y13" s="146"/>
      <c r="Z13" s="147"/>
      <c r="AA13" s="145"/>
      <c r="AB13" s="146"/>
      <c r="AC13" s="147"/>
      <c r="AD13" s="143"/>
      <c r="AE13" s="144">
        <v>0</v>
      </c>
      <c r="AF13" s="144">
        <v>0</v>
      </c>
      <c r="AG13" s="144">
        <v>0</v>
      </c>
      <c r="AH13" s="144">
        <f t="shared" si="1"/>
        <v>0</v>
      </c>
    </row>
    <row r="14" spans="1:34" x14ac:dyDescent="0.25">
      <c r="A14" s="143"/>
      <c r="B14" s="143"/>
      <c r="C14" s="143"/>
      <c r="D14" s="143"/>
      <c r="E14" s="143"/>
      <c r="F14" s="143"/>
      <c r="G14" s="143"/>
      <c r="H14" s="143"/>
      <c r="I14" s="143"/>
      <c r="J14" s="144">
        <v>0</v>
      </c>
      <c r="K14" s="144"/>
      <c r="L14" s="145"/>
      <c r="M14" s="146"/>
      <c r="N14" s="147"/>
      <c r="O14" s="144">
        <v>0</v>
      </c>
      <c r="P14" s="145"/>
      <c r="Q14" s="148"/>
      <c r="R14" s="149"/>
      <c r="S14" s="146"/>
      <c r="T14" s="146"/>
      <c r="U14" s="147"/>
      <c r="V14" s="144">
        <v>0</v>
      </c>
      <c r="W14" s="144">
        <f t="shared" si="0"/>
        <v>0</v>
      </c>
      <c r="X14" s="145"/>
      <c r="Y14" s="146"/>
      <c r="Z14" s="147"/>
      <c r="AA14" s="145"/>
      <c r="AB14" s="146"/>
      <c r="AC14" s="147"/>
      <c r="AD14" s="143"/>
      <c r="AE14" s="144">
        <v>0</v>
      </c>
      <c r="AF14" s="144">
        <v>0</v>
      </c>
      <c r="AG14" s="144">
        <v>0</v>
      </c>
      <c r="AH14" s="144">
        <f t="shared" si="1"/>
        <v>0</v>
      </c>
    </row>
    <row r="15" spans="1:34" x14ac:dyDescent="0.25">
      <c r="A15" s="143"/>
      <c r="B15" s="143"/>
      <c r="C15" s="143"/>
      <c r="D15" s="143"/>
      <c r="E15" s="143"/>
      <c r="F15" s="143"/>
      <c r="G15" s="143"/>
      <c r="H15" s="143"/>
      <c r="I15" s="143"/>
      <c r="J15" s="144">
        <v>0</v>
      </c>
      <c r="K15" s="144"/>
      <c r="L15" s="145"/>
      <c r="M15" s="146"/>
      <c r="N15" s="147"/>
      <c r="O15" s="144">
        <v>0</v>
      </c>
      <c r="P15" s="145"/>
      <c r="Q15" s="148"/>
      <c r="R15" s="149"/>
      <c r="S15" s="146"/>
      <c r="T15" s="146"/>
      <c r="U15" s="147"/>
      <c r="V15" s="144">
        <v>0</v>
      </c>
      <c r="W15" s="144">
        <f t="shared" si="0"/>
        <v>0</v>
      </c>
      <c r="X15" s="145"/>
      <c r="Y15" s="146"/>
      <c r="Z15" s="147"/>
      <c r="AA15" s="145"/>
      <c r="AB15" s="146"/>
      <c r="AC15" s="147"/>
      <c r="AD15" s="143"/>
      <c r="AE15" s="144">
        <v>0</v>
      </c>
      <c r="AF15" s="144">
        <v>0</v>
      </c>
      <c r="AG15" s="144">
        <v>0</v>
      </c>
      <c r="AH15" s="144">
        <f t="shared" si="1"/>
        <v>0</v>
      </c>
    </row>
    <row r="16" spans="1:34" x14ac:dyDescent="0.25">
      <c r="A16" s="143"/>
      <c r="B16" s="143"/>
      <c r="C16" s="143"/>
      <c r="D16" s="143"/>
      <c r="E16" s="143"/>
      <c r="F16" s="143"/>
      <c r="G16" s="143"/>
      <c r="H16" s="143"/>
      <c r="I16" s="143"/>
      <c r="J16" s="144">
        <v>0</v>
      </c>
      <c r="K16" s="144"/>
      <c r="L16" s="145"/>
      <c r="M16" s="146"/>
      <c r="N16" s="147"/>
      <c r="O16" s="144">
        <v>0</v>
      </c>
      <c r="P16" s="145"/>
      <c r="Q16" s="148"/>
      <c r="R16" s="149"/>
      <c r="S16" s="146"/>
      <c r="T16" s="146"/>
      <c r="U16" s="147"/>
      <c r="V16" s="144">
        <v>0</v>
      </c>
      <c r="W16" s="144">
        <f t="shared" si="0"/>
        <v>0</v>
      </c>
      <c r="X16" s="145"/>
      <c r="Y16" s="146"/>
      <c r="Z16" s="147"/>
      <c r="AA16" s="145"/>
      <c r="AB16" s="146"/>
      <c r="AC16" s="147"/>
      <c r="AD16" s="143"/>
      <c r="AE16" s="144">
        <v>0</v>
      </c>
      <c r="AF16" s="144">
        <v>0</v>
      </c>
      <c r="AG16" s="144">
        <v>0</v>
      </c>
      <c r="AH16" s="144">
        <f t="shared" si="1"/>
        <v>0</v>
      </c>
    </row>
    <row r="17" spans="1:34" x14ac:dyDescent="0.25">
      <c r="A17" s="143"/>
      <c r="B17" s="143"/>
      <c r="C17" s="143"/>
      <c r="D17" s="143"/>
      <c r="E17" s="143"/>
      <c r="F17" s="143"/>
      <c r="G17" s="143"/>
      <c r="H17" s="143"/>
      <c r="I17" s="143"/>
      <c r="J17" s="144">
        <v>0</v>
      </c>
      <c r="K17" s="144"/>
      <c r="L17" s="145"/>
      <c r="M17" s="146"/>
      <c r="N17" s="147"/>
      <c r="O17" s="144">
        <v>0</v>
      </c>
      <c r="P17" s="145"/>
      <c r="Q17" s="148"/>
      <c r="R17" s="149"/>
      <c r="S17" s="146"/>
      <c r="T17" s="146"/>
      <c r="U17" s="147"/>
      <c r="V17" s="144">
        <v>0</v>
      </c>
      <c r="W17" s="144">
        <f t="shared" ref="W17:W23" si="2">SUM(J17*O17*V17)</f>
        <v>0</v>
      </c>
      <c r="X17" s="145"/>
      <c r="Y17" s="146"/>
      <c r="Z17" s="147"/>
      <c r="AA17" s="145"/>
      <c r="AB17" s="146"/>
      <c r="AC17" s="147"/>
      <c r="AD17" s="143"/>
      <c r="AE17" s="144">
        <v>0</v>
      </c>
      <c r="AF17" s="144">
        <v>0</v>
      </c>
      <c r="AG17" s="144">
        <v>0</v>
      </c>
      <c r="AH17" s="144">
        <f t="shared" ref="AH17:AH23" si="3">SUM(AE17*AF17*AG17)</f>
        <v>0</v>
      </c>
    </row>
    <row r="18" spans="1:34" x14ac:dyDescent="0.25">
      <c r="A18" s="143"/>
      <c r="B18" s="143"/>
      <c r="C18" s="143"/>
      <c r="D18" s="143"/>
      <c r="E18" s="143"/>
      <c r="F18" s="143"/>
      <c r="G18" s="143"/>
      <c r="H18" s="143"/>
      <c r="I18" s="143"/>
      <c r="J18" s="144">
        <v>0</v>
      </c>
      <c r="K18" s="144"/>
      <c r="L18" s="145"/>
      <c r="M18" s="146"/>
      <c r="N18" s="147"/>
      <c r="O18" s="144">
        <v>0</v>
      </c>
      <c r="P18" s="145"/>
      <c r="Q18" s="148"/>
      <c r="R18" s="149"/>
      <c r="S18" s="146"/>
      <c r="T18" s="146"/>
      <c r="U18" s="147"/>
      <c r="V18" s="144">
        <v>0</v>
      </c>
      <c r="W18" s="144">
        <f t="shared" si="2"/>
        <v>0</v>
      </c>
      <c r="X18" s="145"/>
      <c r="Y18" s="146"/>
      <c r="Z18" s="147"/>
      <c r="AA18" s="145"/>
      <c r="AB18" s="146"/>
      <c r="AC18" s="147"/>
      <c r="AD18" s="143"/>
      <c r="AE18" s="144">
        <v>0</v>
      </c>
      <c r="AF18" s="144">
        <v>0</v>
      </c>
      <c r="AG18" s="144">
        <v>0</v>
      </c>
      <c r="AH18" s="144">
        <f t="shared" si="3"/>
        <v>0</v>
      </c>
    </row>
    <row r="19" spans="1:34" x14ac:dyDescent="0.25">
      <c r="A19" s="143"/>
      <c r="B19" s="143"/>
      <c r="C19" s="143"/>
      <c r="D19" s="143"/>
      <c r="E19" s="143"/>
      <c r="F19" s="143"/>
      <c r="G19" s="143"/>
      <c r="H19" s="143"/>
      <c r="I19" s="143"/>
      <c r="J19" s="144">
        <v>0</v>
      </c>
      <c r="K19" s="144"/>
      <c r="L19" s="145"/>
      <c r="M19" s="146"/>
      <c r="N19" s="147"/>
      <c r="O19" s="144">
        <v>0</v>
      </c>
      <c r="P19" s="145"/>
      <c r="Q19" s="148"/>
      <c r="R19" s="149"/>
      <c r="S19" s="146"/>
      <c r="T19" s="146"/>
      <c r="U19" s="147"/>
      <c r="V19" s="144">
        <v>0</v>
      </c>
      <c r="W19" s="144">
        <f t="shared" si="2"/>
        <v>0</v>
      </c>
      <c r="X19" s="145"/>
      <c r="Y19" s="146"/>
      <c r="Z19" s="147"/>
      <c r="AA19" s="145"/>
      <c r="AB19" s="146"/>
      <c r="AC19" s="147"/>
      <c r="AD19" s="143"/>
      <c r="AE19" s="144">
        <v>0</v>
      </c>
      <c r="AF19" s="144">
        <v>0</v>
      </c>
      <c r="AG19" s="144">
        <v>0</v>
      </c>
      <c r="AH19" s="144">
        <f t="shared" si="3"/>
        <v>0</v>
      </c>
    </row>
    <row r="20" spans="1:34" x14ac:dyDescent="0.25">
      <c r="A20" s="143"/>
      <c r="B20" s="143"/>
      <c r="C20" s="143"/>
      <c r="D20" s="143"/>
      <c r="E20" s="143"/>
      <c r="F20" s="143"/>
      <c r="G20" s="143"/>
      <c r="H20" s="143"/>
      <c r="I20" s="143"/>
      <c r="J20" s="144">
        <v>0</v>
      </c>
      <c r="K20" s="144"/>
      <c r="L20" s="145"/>
      <c r="M20" s="146"/>
      <c r="N20" s="147"/>
      <c r="O20" s="144">
        <v>0</v>
      </c>
      <c r="P20" s="145"/>
      <c r="Q20" s="148"/>
      <c r="R20" s="149"/>
      <c r="S20" s="146"/>
      <c r="T20" s="146"/>
      <c r="U20" s="147"/>
      <c r="V20" s="144">
        <v>0</v>
      </c>
      <c r="W20" s="144">
        <f t="shared" si="2"/>
        <v>0</v>
      </c>
      <c r="X20" s="145"/>
      <c r="Y20" s="146"/>
      <c r="Z20" s="147"/>
      <c r="AA20" s="145"/>
      <c r="AB20" s="146"/>
      <c r="AC20" s="147"/>
      <c r="AD20" s="143"/>
      <c r="AE20" s="144">
        <v>0</v>
      </c>
      <c r="AF20" s="144">
        <v>0</v>
      </c>
      <c r="AG20" s="144">
        <v>0</v>
      </c>
      <c r="AH20" s="144">
        <f t="shared" si="3"/>
        <v>0</v>
      </c>
    </row>
    <row r="21" spans="1:34" x14ac:dyDescent="0.25">
      <c r="A21" s="143"/>
      <c r="B21" s="143"/>
      <c r="C21" s="143"/>
      <c r="D21" s="143"/>
      <c r="E21" s="143"/>
      <c r="F21" s="143"/>
      <c r="G21" s="143"/>
      <c r="H21" s="143"/>
      <c r="I21" s="143"/>
      <c r="J21" s="144">
        <v>0</v>
      </c>
      <c r="K21" s="144"/>
      <c r="L21" s="145"/>
      <c r="M21" s="146"/>
      <c r="N21" s="147"/>
      <c r="O21" s="144">
        <v>0</v>
      </c>
      <c r="P21" s="145"/>
      <c r="Q21" s="148"/>
      <c r="R21" s="149"/>
      <c r="S21" s="146"/>
      <c r="T21" s="146"/>
      <c r="U21" s="147"/>
      <c r="V21" s="144">
        <v>0</v>
      </c>
      <c r="W21" s="144">
        <f t="shared" si="2"/>
        <v>0</v>
      </c>
      <c r="X21" s="145"/>
      <c r="Y21" s="146"/>
      <c r="Z21" s="147"/>
      <c r="AA21" s="145"/>
      <c r="AB21" s="146"/>
      <c r="AC21" s="147"/>
      <c r="AD21" s="143"/>
      <c r="AE21" s="144">
        <v>0</v>
      </c>
      <c r="AF21" s="144">
        <v>0</v>
      </c>
      <c r="AG21" s="144">
        <v>0</v>
      </c>
      <c r="AH21" s="144">
        <f t="shared" si="3"/>
        <v>0</v>
      </c>
    </row>
    <row r="22" spans="1:34" x14ac:dyDescent="0.25">
      <c r="A22" s="143"/>
      <c r="B22" s="143"/>
      <c r="C22" s="143"/>
      <c r="D22" s="143"/>
      <c r="E22" s="143"/>
      <c r="F22" s="143"/>
      <c r="G22" s="143"/>
      <c r="H22" s="143"/>
      <c r="I22" s="143"/>
      <c r="J22" s="144">
        <v>0</v>
      </c>
      <c r="K22" s="144"/>
      <c r="L22" s="145"/>
      <c r="M22" s="146"/>
      <c r="N22" s="147"/>
      <c r="O22" s="144">
        <v>0</v>
      </c>
      <c r="P22" s="145"/>
      <c r="Q22" s="148"/>
      <c r="R22" s="149"/>
      <c r="S22" s="146"/>
      <c r="T22" s="146"/>
      <c r="U22" s="147"/>
      <c r="V22" s="144">
        <v>0</v>
      </c>
      <c r="W22" s="144">
        <f t="shared" si="2"/>
        <v>0</v>
      </c>
      <c r="X22" s="145"/>
      <c r="Y22" s="146"/>
      <c r="Z22" s="147"/>
      <c r="AA22" s="145"/>
      <c r="AB22" s="146"/>
      <c r="AC22" s="147"/>
      <c r="AD22" s="143"/>
      <c r="AE22" s="144">
        <v>0</v>
      </c>
      <c r="AF22" s="144">
        <v>0</v>
      </c>
      <c r="AG22" s="144">
        <v>0</v>
      </c>
      <c r="AH22" s="144">
        <f t="shared" si="3"/>
        <v>0</v>
      </c>
    </row>
    <row r="23" spans="1:34" x14ac:dyDescent="0.25">
      <c r="A23" s="143"/>
      <c r="B23" s="143"/>
      <c r="C23" s="143"/>
      <c r="D23" s="143"/>
      <c r="E23" s="143"/>
      <c r="F23" s="143"/>
      <c r="G23" s="143"/>
      <c r="H23" s="143"/>
      <c r="I23" s="143"/>
      <c r="J23" s="144">
        <v>0</v>
      </c>
      <c r="K23" s="144"/>
      <c r="L23" s="145"/>
      <c r="M23" s="146"/>
      <c r="N23" s="147"/>
      <c r="O23" s="144">
        <v>0</v>
      </c>
      <c r="P23" s="145"/>
      <c r="Q23" s="148"/>
      <c r="R23" s="149"/>
      <c r="S23" s="146"/>
      <c r="T23" s="146"/>
      <c r="U23" s="147"/>
      <c r="V23" s="144">
        <v>0</v>
      </c>
      <c r="W23" s="144">
        <f t="shared" si="2"/>
        <v>0</v>
      </c>
      <c r="X23" s="145"/>
      <c r="Y23" s="146"/>
      <c r="Z23" s="147"/>
      <c r="AA23" s="145"/>
      <c r="AB23" s="146"/>
      <c r="AC23" s="147"/>
      <c r="AD23" s="143"/>
      <c r="AE23" s="144">
        <v>0</v>
      </c>
      <c r="AF23" s="144">
        <v>0</v>
      </c>
      <c r="AG23" s="144">
        <v>0</v>
      </c>
      <c r="AH23" s="144">
        <f t="shared" si="3"/>
        <v>0</v>
      </c>
    </row>
    <row r="24" spans="1:34" x14ac:dyDescent="0.25">
      <c r="A24" s="143"/>
      <c r="B24" s="143"/>
      <c r="C24" s="143"/>
      <c r="D24" s="143"/>
      <c r="E24" s="143"/>
      <c r="F24" s="143"/>
      <c r="G24" s="143"/>
      <c r="H24" s="143"/>
      <c r="I24" s="143"/>
      <c r="J24" s="144">
        <v>0</v>
      </c>
      <c r="K24" s="144"/>
      <c r="L24" s="145"/>
      <c r="M24" s="146"/>
      <c r="N24" s="147"/>
      <c r="O24" s="144">
        <v>0</v>
      </c>
      <c r="P24" s="145"/>
      <c r="Q24" s="148"/>
      <c r="R24" s="149"/>
      <c r="S24" s="146"/>
      <c r="T24" s="146"/>
      <c r="U24" s="147"/>
      <c r="V24" s="144">
        <v>0</v>
      </c>
      <c r="W24" s="144">
        <f t="shared" si="0"/>
        <v>0</v>
      </c>
      <c r="X24" s="145"/>
      <c r="Y24" s="146"/>
      <c r="Z24" s="147"/>
      <c r="AA24" s="145"/>
      <c r="AB24" s="146"/>
      <c r="AC24" s="147"/>
      <c r="AD24" s="143"/>
      <c r="AE24" s="144">
        <v>0</v>
      </c>
      <c r="AF24" s="144">
        <v>0</v>
      </c>
      <c r="AG24" s="144">
        <v>0</v>
      </c>
      <c r="AH24" s="144">
        <f t="shared" si="1"/>
        <v>0</v>
      </c>
    </row>
    <row r="25" spans="1:34" x14ac:dyDescent="0.25">
      <c r="A25" s="143"/>
      <c r="B25" s="143"/>
      <c r="C25" s="143"/>
      <c r="D25" s="143"/>
      <c r="E25" s="143"/>
      <c r="F25" s="143"/>
      <c r="G25" s="143"/>
      <c r="H25" s="143"/>
      <c r="I25" s="143"/>
      <c r="J25" s="144">
        <v>0</v>
      </c>
      <c r="K25" s="144"/>
      <c r="L25" s="145"/>
      <c r="M25" s="146"/>
      <c r="N25" s="147"/>
      <c r="O25" s="144">
        <v>0</v>
      </c>
      <c r="P25" s="145"/>
      <c r="Q25" s="148"/>
      <c r="R25" s="149"/>
      <c r="S25" s="146"/>
      <c r="T25" s="146"/>
      <c r="U25" s="147"/>
      <c r="V25" s="144">
        <v>0</v>
      </c>
      <c r="W25" s="144">
        <f t="shared" si="0"/>
        <v>0</v>
      </c>
      <c r="X25" s="145"/>
      <c r="Y25" s="146"/>
      <c r="Z25" s="147"/>
      <c r="AA25" s="145"/>
      <c r="AB25" s="146"/>
      <c r="AC25" s="147"/>
      <c r="AD25" s="143"/>
      <c r="AE25" s="144">
        <v>0</v>
      </c>
      <c r="AF25" s="144">
        <v>0</v>
      </c>
      <c r="AG25" s="144">
        <v>0</v>
      </c>
      <c r="AH25" s="144">
        <f t="shared" si="1"/>
        <v>0</v>
      </c>
    </row>
    <row r="26" spans="1:34" x14ac:dyDescent="0.25">
      <c r="A26" s="143"/>
      <c r="B26" s="143"/>
      <c r="C26" s="143"/>
      <c r="D26" s="143"/>
      <c r="E26" s="143"/>
      <c r="F26" s="143"/>
      <c r="G26" s="143"/>
      <c r="H26" s="143"/>
      <c r="I26" s="143"/>
      <c r="J26" s="144">
        <v>0</v>
      </c>
      <c r="K26" s="144"/>
      <c r="L26" s="145"/>
      <c r="M26" s="146"/>
      <c r="N26" s="147"/>
      <c r="O26" s="144">
        <v>0</v>
      </c>
      <c r="P26" s="145"/>
      <c r="Q26" s="148"/>
      <c r="R26" s="149"/>
      <c r="S26" s="146"/>
      <c r="T26" s="146"/>
      <c r="U26" s="147"/>
      <c r="V26" s="144">
        <v>0</v>
      </c>
      <c r="W26" s="144">
        <f t="shared" si="0"/>
        <v>0</v>
      </c>
      <c r="X26" s="145"/>
      <c r="Y26" s="146"/>
      <c r="Z26" s="147"/>
      <c r="AA26" s="145"/>
      <c r="AB26" s="146"/>
      <c r="AC26" s="147"/>
      <c r="AD26" s="143"/>
      <c r="AE26" s="144">
        <v>0</v>
      </c>
      <c r="AF26" s="144">
        <v>0</v>
      </c>
      <c r="AG26" s="144">
        <v>0</v>
      </c>
      <c r="AH26" s="144">
        <f t="shared" si="1"/>
        <v>0</v>
      </c>
    </row>
    <row r="27" spans="1:34" x14ac:dyDescent="0.25">
      <c r="A27" s="143"/>
      <c r="B27" s="143"/>
      <c r="C27" s="143"/>
      <c r="D27" s="143"/>
      <c r="E27" s="143"/>
      <c r="F27" s="143"/>
      <c r="G27" s="143"/>
      <c r="H27" s="143"/>
      <c r="I27" s="143"/>
      <c r="J27" s="144">
        <v>0</v>
      </c>
      <c r="K27" s="144"/>
      <c r="L27" s="145"/>
      <c r="M27" s="146"/>
      <c r="N27" s="147"/>
      <c r="O27" s="144">
        <v>0</v>
      </c>
      <c r="P27" s="145"/>
      <c r="Q27" s="148"/>
      <c r="R27" s="149"/>
      <c r="S27" s="146"/>
      <c r="T27" s="146"/>
      <c r="U27" s="147"/>
      <c r="V27" s="144">
        <v>0</v>
      </c>
      <c r="W27" s="144">
        <f t="shared" ref="W27:W46" si="4">SUM(J27*O27*V27)</f>
        <v>0</v>
      </c>
      <c r="X27" s="145"/>
      <c r="Y27" s="146"/>
      <c r="Z27" s="147"/>
      <c r="AA27" s="145"/>
      <c r="AB27" s="146"/>
      <c r="AC27" s="147"/>
      <c r="AD27" s="143"/>
      <c r="AE27" s="144">
        <v>0</v>
      </c>
      <c r="AF27" s="144">
        <v>0</v>
      </c>
      <c r="AG27" s="144">
        <v>0</v>
      </c>
      <c r="AH27" s="144">
        <f t="shared" ref="AH27:AH46" si="5">SUM(AE27*AF27*AG27)</f>
        <v>0</v>
      </c>
    </row>
    <row r="28" spans="1:34" x14ac:dyDescent="0.25">
      <c r="A28" s="143"/>
      <c r="B28" s="143"/>
      <c r="C28" s="143"/>
      <c r="D28" s="143"/>
      <c r="E28" s="143"/>
      <c r="F28" s="143"/>
      <c r="G28" s="143"/>
      <c r="H28" s="143"/>
      <c r="I28" s="143"/>
      <c r="J28" s="144">
        <v>0</v>
      </c>
      <c r="K28" s="144"/>
      <c r="L28" s="145"/>
      <c r="M28" s="146"/>
      <c r="N28" s="147"/>
      <c r="O28" s="144">
        <v>0</v>
      </c>
      <c r="P28" s="145"/>
      <c r="Q28" s="148"/>
      <c r="R28" s="149"/>
      <c r="S28" s="146"/>
      <c r="T28" s="146"/>
      <c r="U28" s="147"/>
      <c r="V28" s="144">
        <v>0</v>
      </c>
      <c r="W28" s="144">
        <f t="shared" si="4"/>
        <v>0</v>
      </c>
      <c r="X28" s="145"/>
      <c r="Y28" s="146"/>
      <c r="Z28" s="147"/>
      <c r="AA28" s="145"/>
      <c r="AB28" s="146"/>
      <c r="AC28" s="147"/>
      <c r="AD28" s="143"/>
      <c r="AE28" s="144">
        <v>0</v>
      </c>
      <c r="AF28" s="144">
        <v>0</v>
      </c>
      <c r="AG28" s="144">
        <v>0</v>
      </c>
      <c r="AH28" s="144">
        <f t="shared" si="5"/>
        <v>0</v>
      </c>
    </row>
    <row r="29" spans="1:34" x14ac:dyDescent="0.25">
      <c r="A29" s="143"/>
      <c r="B29" s="143"/>
      <c r="C29" s="143"/>
      <c r="D29" s="143"/>
      <c r="E29" s="143"/>
      <c r="F29" s="143"/>
      <c r="G29" s="143"/>
      <c r="H29" s="143"/>
      <c r="I29" s="143"/>
      <c r="J29" s="144">
        <v>0</v>
      </c>
      <c r="K29" s="144"/>
      <c r="L29" s="145"/>
      <c r="M29" s="146"/>
      <c r="N29" s="147"/>
      <c r="O29" s="144">
        <v>0</v>
      </c>
      <c r="P29" s="145"/>
      <c r="Q29" s="148"/>
      <c r="R29" s="149"/>
      <c r="S29" s="146"/>
      <c r="T29" s="146"/>
      <c r="U29" s="147"/>
      <c r="V29" s="144">
        <v>0</v>
      </c>
      <c r="W29" s="144">
        <f t="shared" si="4"/>
        <v>0</v>
      </c>
      <c r="X29" s="145"/>
      <c r="Y29" s="146"/>
      <c r="Z29" s="147"/>
      <c r="AA29" s="145"/>
      <c r="AB29" s="146"/>
      <c r="AC29" s="147"/>
      <c r="AD29" s="143"/>
      <c r="AE29" s="144">
        <v>0</v>
      </c>
      <c r="AF29" s="144">
        <v>0</v>
      </c>
      <c r="AG29" s="144">
        <v>0</v>
      </c>
      <c r="AH29" s="144">
        <f t="shared" si="5"/>
        <v>0</v>
      </c>
    </row>
    <row r="30" spans="1:34" x14ac:dyDescent="0.25">
      <c r="A30" s="143"/>
      <c r="B30" s="143"/>
      <c r="C30" s="143"/>
      <c r="D30" s="143"/>
      <c r="E30" s="143"/>
      <c r="F30" s="143"/>
      <c r="G30" s="143"/>
      <c r="H30" s="143"/>
      <c r="I30" s="143"/>
      <c r="J30" s="144">
        <v>0</v>
      </c>
      <c r="K30" s="144"/>
      <c r="L30" s="145"/>
      <c r="M30" s="146"/>
      <c r="N30" s="147"/>
      <c r="O30" s="144">
        <v>0</v>
      </c>
      <c r="P30" s="145"/>
      <c r="Q30" s="148"/>
      <c r="R30" s="149"/>
      <c r="S30" s="146"/>
      <c r="T30" s="146"/>
      <c r="U30" s="147"/>
      <c r="V30" s="144">
        <v>0</v>
      </c>
      <c r="W30" s="144">
        <f t="shared" si="4"/>
        <v>0</v>
      </c>
      <c r="X30" s="145"/>
      <c r="Y30" s="146"/>
      <c r="Z30" s="147"/>
      <c r="AA30" s="145"/>
      <c r="AB30" s="146"/>
      <c r="AC30" s="147"/>
      <c r="AD30" s="143"/>
      <c r="AE30" s="144">
        <v>0</v>
      </c>
      <c r="AF30" s="144">
        <v>0</v>
      </c>
      <c r="AG30" s="144">
        <v>0</v>
      </c>
      <c r="AH30" s="144">
        <f t="shared" si="5"/>
        <v>0</v>
      </c>
    </row>
    <row r="31" spans="1:34" x14ac:dyDescent="0.25">
      <c r="A31" s="143"/>
      <c r="B31" s="143"/>
      <c r="C31" s="143"/>
      <c r="D31" s="143"/>
      <c r="E31" s="143"/>
      <c r="F31" s="143"/>
      <c r="G31" s="143"/>
      <c r="H31" s="143"/>
      <c r="I31" s="143"/>
      <c r="J31" s="144">
        <v>0</v>
      </c>
      <c r="K31" s="144"/>
      <c r="L31" s="145"/>
      <c r="M31" s="146"/>
      <c r="N31" s="147"/>
      <c r="O31" s="144">
        <v>0</v>
      </c>
      <c r="P31" s="145"/>
      <c r="Q31" s="148"/>
      <c r="R31" s="149"/>
      <c r="S31" s="146"/>
      <c r="T31" s="146"/>
      <c r="U31" s="147"/>
      <c r="V31" s="144">
        <v>0</v>
      </c>
      <c r="W31" s="144">
        <f t="shared" si="4"/>
        <v>0</v>
      </c>
      <c r="X31" s="145"/>
      <c r="Y31" s="146"/>
      <c r="Z31" s="147"/>
      <c r="AA31" s="145"/>
      <c r="AB31" s="146"/>
      <c r="AC31" s="147"/>
      <c r="AD31" s="143"/>
      <c r="AE31" s="144">
        <v>0</v>
      </c>
      <c r="AF31" s="144">
        <v>0</v>
      </c>
      <c r="AG31" s="144">
        <v>0</v>
      </c>
      <c r="AH31" s="144">
        <f t="shared" si="5"/>
        <v>0</v>
      </c>
    </row>
    <row r="32" spans="1:34" x14ac:dyDescent="0.25">
      <c r="A32" s="143"/>
      <c r="B32" s="143"/>
      <c r="C32" s="143"/>
      <c r="D32" s="143"/>
      <c r="E32" s="143"/>
      <c r="F32" s="143"/>
      <c r="G32" s="143"/>
      <c r="H32" s="143"/>
      <c r="I32" s="143"/>
      <c r="J32" s="144">
        <v>0</v>
      </c>
      <c r="K32" s="144"/>
      <c r="L32" s="145"/>
      <c r="M32" s="146"/>
      <c r="N32" s="147"/>
      <c r="O32" s="144">
        <v>0</v>
      </c>
      <c r="P32" s="145"/>
      <c r="Q32" s="148"/>
      <c r="R32" s="149"/>
      <c r="S32" s="146"/>
      <c r="T32" s="146"/>
      <c r="U32" s="147"/>
      <c r="V32" s="144">
        <v>0</v>
      </c>
      <c r="W32" s="144">
        <f t="shared" si="4"/>
        <v>0</v>
      </c>
      <c r="X32" s="145"/>
      <c r="Y32" s="146"/>
      <c r="Z32" s="147"/>
      <c r="AA32" s="145"/>
      <c r="AB32" s="146"/>
      <c r="AC32" s="147"/>
      <c r="AD32" s="143"/>
      <c r="AE32" s="144">
        <v>0</v>
      </c>
      <c r="AF32" s="144">
        <v>0</v>
      </c>
      <c r="AG32" s="144">
        <v>0</v>
      </c>
      <c r="AH32" s="144">
        <f t="shared" si="5"/>
        <v>0</v>
      </c>
    </row>
    <row r="33" spans="1:34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4">
        <v>0</v>
      </c>
      <c r="K33" s="144"/>
      <c r="L33" s="145"/>
      <c r="M33" s="146"/>
      <c r="N33" s="147"/>
      <c r="O33" s="144">
        <v>0</v>
      </c>
      <c r="P33" s="145"/>
      <c r="Q33" s="148"/>
      <c r="R33" s="149"/>
      <c r="S33" s="146"/>
      <c r="T33" s="146"/>
      <c r="U33" s="147"/>
      <c r="V33" s="144">
        <v>0</v>
      </c>
      <c r="W33" s="144">
        <f t="shared" si="4"/>
        <v>0</v>
      </c>
      <c r="X33" s="145"/>
      <c r="Y33" s="146"/>
      <c r="Z33" s="147"/>
      <c r="AA33" s="145"/>
      <c r="AB33" s="146"/>
      <c r="AC33" s="147"/>
      <c r="AD33" s="143"/>
      <c r="AE33" s="144">
        <v>0</v>
      </c>
      <c r="AF33" s="144">
        <v>0</v>
      </c>
      <c r="AG33" s="144">
        <v>0</v>
      </c>
      <c r="AH33" s="144">
        <f t="shared" si="5"/>
        <v>0</v>
      </c>
    </row>
    <row r="34" spans="1:34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4">
        <v>0</v>
      </c>
      <c r="K34" s="144"/>
      <c r="L34" s="145"/>
      <c r="M34" s="146"/>
      <c r="N34" s="147"/>
      <c r="O34" s="144">
        <v>0</v>
      </c>
      <c r="P34" s="145"/>
      <c r="Q34" s="148"/>
      <c r="R34" s="149"/>
      <c r="S34" s="146"/>
      <c r="T34" s="146"/>
      <c r="U34" s="147"/>
      <c r="V34" s="144">
        <v>0</v>
      </c>
      <c r="W34" s="144">
        <f t="shared" si="4"/>
        <v>0</v>
      </c>
      <c r="X34" s="145"/>
      <c r="Y34" s="146"/>
      <c r="Z34" s="147"/>
      <c r="AA34" s="145"/>
      <c r="AB34" s="146"/>
      <c r="AC34" s="147"/>
      <c r="AD34" s="143"/>
      <c r="AE34" s="144">
        <v>0</v>
      </c>
      <c r="AF34" s="144">
        <v>0</v>
      </c>
      <c r="AG34" s="144">
        <v>0</v>
      </c>
      <c r="AH34" s="144">
        <f t="shared" si="5"/>
        <v>0</v>
      </c>
    </row>
    <row r="35" spans="1:34" x14ac:dyDescent="0.25">
      <c r="A35" s="143"/>
      <c r="B35" s="143"/>
      <c r="C35" s="143"/>
      <c r="D35" s="143"/>
      <c r="E35" s="143"/>
      <c r="F35" s="143"/>
      <c r="G35" s="143"/>
      <c r="H35" s="143"/>
      <c r="I35" s="143"/>
      <c r="J35" s="144">
        <v>0</v>
      </c>
      <c r="K35" s="144"/>
      <c r="L35" s="145"/>
      <c r="M35" s="146"/>
      <c r="N35" s="147"/>
      <c r="O35" s="144">
        <v>0</v>
      </c>
      <c r="P35" s="145"/>
      <c r="Q35" s="148"/>
      <c r="R35" s="149"/>
      <c r="S35" s="146"/>
      <c r="T35" s="146"/>
      <c r="U35" s="147"/>
      <c r="V35" s="144">
        <v>0</v>
      </c>
      <c r="W35" s="144">
        <f t="shared" si="4"/>
        <v>0</v>
      </c>
      <c r="X35" s="145"/>
      <c r="Y35" s="146"/>
      <c r="Z35" s="147"/>
      <c r="AA35" s="145"/>
      <c r="AB35" s="146"/>
      <c r="AC35" s="147"/>
      <c r="AD35" s="143"/>
      <c r="AE35" s="144">
        <v>0</v>
      </c>
      <c r="AF35" s="144">
        <v>0</v>
      </c>
      <c r="AG35" s="144">
        <v>0</v>
      </c>
      <c r="AH35" s="144">
        <f t="shared" si="5"/>
        <v>0</v>
      </c>
    </row>
    <row r="36" spans="1:34" x14ac:dyDescent="0.25">
      <c r="A36" s="143"/>
      <c r="B36" s="143"/>
      <c r="C36" s="143"/>
      <c r="D36" s="143"/>
      <c r="E36" s="143"/>
      <c r="F36" s="143"/>
      <c r="G36" s="143"/>
      <c r="H36" s="143"/>
      <c r="I36" s="143"/>
      <c r="J36" s="144">
        <v>0</v>
      </c>
      <c r="K36" s="144"/>
      <c r="L36" s="145"/>
      <c r="M36" s="146"/>
      <c r="N36" s="147"/>
      <c r="O36" s="144">
        <v>0</v>
      </c>
      <c r="P36" s="145"/>
      <c r="Q36" s="148"/>
      <c r="R36" s="149"/>
      <c r="S36" s="146"/>
      <c r="T36" s="146"/>
      <c r="U36" s="147"/>
      <c r="V36" s="144">
        <v>0</v>
      </c>
      <c r="W36" s="144">
        <f t="shared" si="4"/>
        <v>0</v>
      </c>
      <c r="X36" s="145"/>
      <c r="Y36" s="146"/>
      <c r="Z36" s="147"/>
      <c r="AA36" s="145"/>
      <c r="AB36" s="146"/>
      <c r="AC36" s="147"/>
      <c r="AD36" s="143"/>
      <c r="AE36" s="144">
        <v>0</v>
      </c>
      <c r="AF36" s="144">
        <v>0</v>
      </c>
      <c r="AG36" s="144">
        <v>0</v>
      </c>
      <c r="AH36" s="144">
        <f t="shared" si="5"/>
        <v>0</v>
      </c>
    </row>
    <row r="37" spans="1:34" x14ac:dyDescent="0.25">
      <c r="A37" s="143"/>
      <c r="B37" s="143"/>
      <c r="C37" s="143"/>
      <c r="D37" s="143"/>
      <c r="E37" s="143"/>
      <c r="F37" s="143"/>
      <c r="G37" s="143"/>
      <c r="H37" s="143"/>
      <c r="I37" s="143"/>
      <c r="J37" s="144">
        <v>0</v>
      </c>
      <c r="K37" s="144"/>
      <c r="L37" s="145"/>
      <c r="M37" s="146"/>
      <c r="N37" s="147"/>
      <c r="O37" s="144">
        <v>0</v>
      </c>
      <c r="P37" s="145"/>
      <c r="Q37" s="148"/>
      <c r="R37" s="149"/>
      <c r="S37" s="146"/>
      <c r="T37" s="146"/>
      <c r="U37" s="147"/>
      <c r="V37" s="144">
        <v>0</v>
      </c>
      <c r="W37" s="144">
        <f t="shared" si="4"/>
        <v>0</v>
      </c>
      <c r="X37" s="145"/>
      <c r="Y37" s="146"/>
      <c r="Z37" s="147"/>
      <c r="AA37" s="145"/>
      <c r="AB37" s="146"/>
      <c r="AC37" s="147"/>
      <c r="AD37" s="143"/>
      <c r="AE37" s="144">
        <v>0</v>
      </c>
      <c r="AF37" s="144">
        <v>0</v>
      </c>
      <c r="AG37" s="144">
        <v>0</v>
      </c>
      <c r="AH37" s="144">
        <f t="shared" si="5"/>
        <v>0</v>
      </c>
    </row>
    <row r="38" spans="1:34" x14ac:dyDescent="0.25">
      <c r="A38" s="143"/>
      <c r="B38" s="143"/>
      <c r="C38" s="143"/>
      <c r="D38" s="143"/>
      <c r="E38" s="143"/>
      <c r="F38" s="143"/>
      <c r="G38" s="143"/>
      <c r="H38" s="143"/>
      <c r="I38" s="143"/>
      <c r="J38" s="144">
        <v>0</v>
      </c>
      <c r="K38" s="144"/>
      <c r="L38" s="145"/>
      <c r="M38" s="146"/>
      <c r="N38" s="147"/>
      <c r="O38" s="144">
        <v>0</v>
      </c>
      <c r="P38" s="145"/>
      <c r="Q38" s="148"/>
      <c r="R38" s="149"/>
      <c r="S38" s="146"/>
      <c r="T38" s="146"/>
      <c r="U38" s="147"/>
      <c r="V38" s="144">
        <v>0</v>
      </c>
      <c r="W38" s="144">
        <f t="shared" si="4"/>
        <v>0</v>
      </c>
      <c r="X38" s="145"/>
      <c r="Y38" s="146"/>
      <c r="Z38" s="147"/>
      <c r="AA38" s="145"/>
      <c r="AB38" s="146"/>
      <c r="AC38" s="147"/>
      <c r="AD38" s="143"/>
      <c r="AE38" s="144">
        <v>0</v>
      </c>
      <c r="AF38" s="144">
        <v>0</v>
      </c>
      <c r="AG38" s="144">
        <v>0</v>
      </c>
      <c r="AH38" s="144">
        <f t="shared" si="5"/>
        <v>0</v>
      </c>
    </row>
    <row r="39" spans="1:34" x14ac:dyDescent="0.25">
      <c r="A39" s="143"/>
      <c r="B39" s="143"/>
      <c r="C39" s="143"/>
      <c r="D39" s="143"/>
      <c r="E39" s="143"/>
      <c r="F39" s="143"/>
      <c r="G39" s="143"/>
      <c r="H39" s="143"/>
      <c r="I39" s="143"/>
      <c r="J39" s="144">
        <v>0</v>
      </c>
      <c r="K39" s="144"/>
      <c r="L39" s="145"/>
      <c r="M39" s="146"/>
      <c r="N39" s="147"/>
      <c r="O39" s="144">
        <v>0</v>
      </c>
      <c r="P39" s="145"/>
      <c r="Q39" s="148"/>
      <c r="R39" s="149"/>
      <c r="S39" s="146"/>
      <c r="T39" s="146"/>
      <c r="U39" s="147"/>
      <c r="V39" s="144">
        <v>0</v>
      </c>
      <c r="W39" s="144">
        <f t="shared" si="4"/>
        <v>0</v>
      </c>
      <c r="X39" s="145"/>
      <c r="Y39" s="146"/>
      <c r="Z39" s="147"/>
      <c r="AA39" s="145"/>
      <c r="AB39" s="146"/>
      <c r="AC39" s="147"/>
      <c r="AD39" s="143"/>
      <c r="AE39" s="144">
        <v>0</v>
      </c>
      <c r="AF39" s="144">
        <v>0</v>
      </c>
      <c r="AG39" s="144">
        <v>0</v>
      </c>
      <c r="AH39" s="144">
        <f t="shared" si="5"/>
        <v>0</v>
      </c>
    </row>
    <row r="40" spans="1:34" x14ac:dyDescent="0.25">
      <c r="A40" s="143"/>
      <c r="B40" s="143"/>
      <c r="C40" s="143"/>
      <c r="D40" s="143"/>
      <c r="E40" s="143"/>
      <c r="F40" s="143"/>
      <c r="G40" s="143"/>
      <c r="H40" s="143"/>
      <c r="I40" s="143"/>
      <c r="J40" s="144">
        <v>0</v>
      </c>
      <c r="K40" s="144"/>
      <c r="L40" s="145"/>
      <c r="M40" s="146"/>
      <c r="N40" s="147"/>
      <c r="O40" s="144">
        <v>0</v>
      </c>
      <c r="P40" s="145"/>
      <c r="Q40" s="148"/>
      <c r="R40" s="149"/>
      <c r="S40" s="146"/>
      <c r="T40" s="146"/>
      <c r="U40" s="147"/>
      <c r="V40" s="144">
        <v>0</v>
      </c>
      <c r="W40" s="144">
        <f t="shared" si="4"/>
        <v>0</v>
      </c>
      <c r="X40" s="145"/>
      <c r="Y40" s="146"/>
      <c r="Z40" s="147"/>
      <c r="AA40" s="145"/>
      <c r="AB40" s="146"/>
      <c r="AC40" s="147"/>
      <c r="AD40" s="143"/>
      <c r="AE40" s="144">
        <v>0</v>
      </c>
      <c r="AF40" s="144">
        <v>0</v>
      </c>
      <c r="AG40" s="144">
        <v>0</v>
      </c>
      <c r="AH40" s="144">
        <f t="shared" si="5"/>
        <v>0</v>
      </c>
    </row>
    <row r="41" spans="1:34" x14ac:dyDescent="0.25">
      <c r="A41" s="143"/>
      <c r="B41" s="143"/>
      <c r="C41" s="143"/>
      <c r="D41" s="143"/>
      <c r="E41" s="143"/>
      <c r="F41" s="143"/>
      <c r="G41" s="143"/>
      <c r="H41" s="143"/>
      <c r="I41" s="143"/>
      <c r="J41" s="144">
        <v>0</v>
      </c>
      <c r="K41" s="144"/>
      <c r="L41" s="145"/>
      <c r="M41" s="146"/>
      <c r="N41" s="147"/>
      <c r="O41" s="144">
        <v>0</v>
      </c>
      <c r="P41" s="145"/>
      <c r="Q41" s="148"/>
      <c r="R41" s="149"/>
      <c r="S41" s="146"/>
      <c r="T41" s="146"/>
      <c r="U41" s="147"/>
      <c r="V41" s="144">
        <v>0</v>
      </c>
      <c r="W41" s="144">
        <f t="shared" si="4"/>
        <v>0</v>
      </c>
      <c r="X41" s="145"/>
      <c r="Y41" s="146"/>
      <c r="Z41" s="147"/>
      <c r="AA41" s="145"/>
      <c r="AB41" s="146"/>
      <c r="AC41" s="147"/>
      <c r="AD41" s="143"/>
      <c r="AE41" s="144">
        <v>0</v>
      </c>
      <c r="AF41" s="144">
        <v>0</v>
      </c>
      <c r="AG41" s="144">
        <v>0</v>
      </c>
      <c r="AH41" s="144">
        <f t="shared" si="5"/>
        <v>0</v>
      </c>
    </row>
    <row r="42" spans="1:34" x14ac:dyDescent="0.25">
      <c r="A42" s="143"/>
      <c r="B42" s="143"/>
      <c r="C42" s="143"/>
      <c r="D42" s="143"/>
      <c r="E42" s="143"/>
      <c r="F42" s="143"/>
      <c r="G42" s="143"/>
      <c r="H42" s="143"/>
      <c r="I42" s="143"/>
      <c r="J42" s="144">
        <v>0</v>
      </c>
      <c r="K42" s="144"/>
      <c r="L42" s="145"/>
      <c r="M42" s="146"/>
      <c r="N42" s="147"/>
      <c r="O42" s="144">
        <v>0</v>
      </c>
      <c r="P42" s="145"/>
      <c r="Q42" s="148"/>
      <c r="R42" s="149"/>
      <c r="S42" s="146"/>
      <c r="T42" s="146"/>
      <c r="U42" s="147"/>
      <c r="V42" s="144">
        <v>0</v>
      </c>
      <c r="W42" s="144">
        <f t="shared" si="4"/>
        <v>0</v>
      </c>
      <c r="X42" s="145"/>
      <c r="Y42" s="146"/>
      <c r="Z42" s="147"/>
      <c r="AA42" s="145"/>
      <c r="AB42" s="146"/>
      <c r="AC42" s="147"/>
      <c r="AD42" s="143"/>
      <c r="AE42" s="144">
        <v>0</v>
      </c>
      <c r="AF42" s="144">
        <v>0</v>
      </c>
      <c r="AG42" s="144">
        <v>0</v>
      </c>
      <c r="AH42" s="144">
        <f t="shared" si="5"/>
        <v>0</v>
      </c>
    </row>
    <row r="43" spans="1:34" x14ac:dyDescent="0.25">
      <c r="A43" s="143"/>
      <c r="B43" s="143"/>
      <c r="C43" s="143"/>
      <c r="D43" s="143"/>
      <c r="E43" s="143"/>
      <c r="F43" s="143"/>
      <c r="G43" s="143"/>
      <c r="H43" s="143"/>
      <c r="I43" s="143"/>
      <c r="J43" s="144">
        <v>0</v>
      </c>
      <c r="K43" s="144"/>
      <c r="L43" s="145"/>
      <c r="M43" s="146"/>
      <c r="N43" s="147"/>
      <c r="O43" s="144">
        <v>0</v>
      </c>
      <c r="P43" s="145"/>
      <c r="Q43" s="148"/>
      <c r="R43" s="149"/>
      <c r="S43" s="146"/>
      <c r="T43" s="146"/>
      <c r="U43" s="147"/>
      <c r="V43" s="144">
        <v>0</v>
      </c>
      <c r="W43" s="144">
        <f t="shared" si="4"/>
        <v>0</v>
      </c>
      <c r="X43" s="145"/>
      <c r="Y43" s="146"/>
      <c r="Z43" s="147"/>
      <c r="AA43" s="145"/>
      <c r="AB43" s="146"/>
      <c r="AC43" s="147"/>
      <c r="AD43" s="143"/>
      <c r="AE43" s="144">
        <v>0</v>
      </c>
      <c r="AF43" s="144">
        <v>0</v>
      </c>
      <c r="AG43" s="144">
        <v>0</v>
      </c>
      <c r="AH43" s="144">
        <f t="shared" si="5"/>
        <v>0</v>
      </c>
    </row>
    <row r="44" spans="1:34" x14ac:dyDescent="0.25">
      <c r="A44" s="143"/>
      <c r="B44" s="143"/>
      <c r="C44" s="143"/>
      <c r="D44" s="143"/>
      <c r="E44" s="143"/>
      <c r="F44" s="143"/>
      <c r="G44" s="143"/>
      <c r="H44" s="143"/>
      <c r="I44" s="143"/>
      <c r="J44" s="144">
        <v>0</v>
      </c>
      <c r="K44" s="144"/>
      <c r="L44" s="145"/>
      <c r="M44" s="146"/>
      <c r="N44" s="147"/>
      <c r="O44" s="144">
        <v>0</v>
      </c>
      <c r="P44" s="145"/>
      <c r="Q44" s="148"/>
      <c r="R44" s="149"/>
      <c r="S44" s="146"/>
      <c r="T44" s="146"/>
      <c r="U44" s="147"/>
      <c r="V44" s="144">
        <v>0</v>
      </c>
      <c r="W44" s="144">
        <f t="shared" si="4"/>
        <v>0</v>
      </c>
      <c r="X44" s="145"/>
      <c r="Y44" s="146"/>
      <c r="Z44" s="147"/>
      <c r="AA44" s="145"/>
      <c r="AB44" s="146"/>
      <c r="AC44" s="147"/>
      <c r="AD44" s="143"/>
      <c r="AE44" s="144">
        <v>0</v>
      </c>
      <c r="AF44" s="144">
        <v>0</v>
      </c>
      <c r="AG44" s="144">
        <v>0</v>
      </c>
      <c r="AH44" s="144">
        <f t="shared" si="5"/>
        <v>0</v>
      </c>
    </row>
    <row r="45" spans="1:34" x14ac:dyDescent="0.25">
      <c r="A45" s="143"/>
      <c r="B45" s="143"/>
      <c r="C45" s="143"/>
      <c r="D45" s="143"/>
      <c r="E45" s="143"/>
      <c r="F45" s="143"/>
      <c r="G45" s="143"/>
      <c r="H45" s="143"/>
      <c r="I45" s="143"/>
      <c r="J45" s="144">
        <v>0</v>
      </c>
      <c r="K45" s="144"/>
      <c r="L45" s="145"/>
      <c r="M45" s="146"/>
      <c r="N45" s="147"/>
      <c r="O45" s="144">
        <v>0</v>
      </c>
      <c r="P45" s="145"/>
      <c r="Q45" s="148"/>
      <c r="R45" s="149"/>
      <c r="S45" s="146"/>
      <c r="T45" s="146"/>
      <c r="U45" s="147"/>
      <c r="V45" s="144">
        <v>0</v>
      </c>
      <c r="W45" s="144">
        <f t="shared" si="4"/>
        <v>0</v>
      </c>
      <c r="X45" s="145"/>
      <c r="Y45" s="146"/>
      <c r="Z45" s="147"/>
      <c r="AA45" s="145"/>
      <c r="AB45" s="146"/>
      <c r="AC45" s="147"/>
      <c r="AD45" s="143"/>
      <c r="AE45" s="144">
        <v>0</v>
      </c>
      <c r="AF45" s="144">
        <v>0</v>
      </c>
      <c r="AG45" s="144">
        <v>0</v>
      </c>
      <c r="AH45" s="144">
        <f t="shared" si="5"/>
        <v>0</v>
      </c>
    </row>
    <row r="46" spans="1:34" x14ac:dyDescent="0.25">
      <c r="A46" s="143"/>
      <c r="B46" s="143"/>
      <c r="C46" s="143"/>
      <c r="D46" s="143"/>
      <c r="E46" s="143"/>
      <c r="F46" s="143"/>
      <c r="G46" s="143"/>
      <c r="H46" s="143"/>
      <c r="I46" s="143"/>
      <c r="J46" s="144">
        <v>0</v>
      </c>
      <c r="K46" s="144"/>
      <c r="L46" s="145"/>
      <c r="M46" s="146"/>
      <c r="N46" s="147"/>
      <c r="O46" s="144">
        <v>0</v>
      </c>
      <c r="P46" s="145"/>
      <c r="Q46" s="148"/>
      <c r="R46" s="149"/>
      <c r="S46" s="146"/>
      <c r="T46" s="146"/>
      <c r="U46" s="147"/>
      <c r="V46" s="144">
        <v>0</v>
      </c>
      <c r="W46" s="144">
        <f t="shared" si="4"/>
        <v>0</v>
      </c>
      <c r="X46" s="145"/>
      <c r="Y46" s="146"/>
      <c r="Z46" s="147"/>
      <c r="AA46" s="145"/>
      <c r="AB46" s="146"/>
      <c r="AC46" s="147"/>
      <c r="AD46" s="143"/>
      <c r="AE46" s="144">
        <v>0</v>
      </c>
      <c r="AF46" s="144">
        <v>0</v>
      </c>
      <c r="AG46" s="144">
        <v>0</v>
      </c>
      <c r="AH46" s="144">
        <f t="shared" si="5"/>
        <v>0</v>
      </c>
    </row>
    <row r="49" spans="5:6" x14ac:dyDescent="0.25">
      <c r="E49" s="5"/>
      <c r="F49" s="5"/>
    </row>
    <row r="50" ht="13.5" customHeight="1" spans="6:8" x14ac:dyDescent="0.25">
      <c r="F50" s="5"/>
      <c r="G50" s="5"/>
      <c r="H50" s="5"/>
    </row>
    <row r="51" ht="13.9" customHeight="1" spans="1:36" x14ac:dyDescent="0.25">
      <c r="A51" s="150" t="s">
        <v>122</v>
      </c>
      <c r="B51" s="151"/>
      <c r="C51" s="151"/>
      <c r="D51" s="151"/>
      <c r="E51" s="151"/>
      <c r="F51" s="151"/>
      <c r="G51" s="151"/>
      <c r="H51" s="152"/>
      <c r="J51" s="150" t="s">
        <v>123</v>
      </c>
      <c r="K51" s="151"/>
      <c r="L51" s="151"/>
      <c r="M51" s="151"/>
      <c r="N51" s="151"/>
      <c r="O51" s="151"/>
      <c r="P51" s="151"/>
      <c r="Q51" s="151"/>
      <c r="R51" s="153"/>
      <c r="T51" s="150" t="s">
        <v>124</v>
      </c>
      <c r="U51" s="151"/>
      <c r="V51" s="151"/>
      <c r="W51" s="151"/>
      <c r="X51" s="151"/>
      <c r="Y51" s="151"/>
      <c r="Z51" s="151"/>
      <c r="AA51" s="151"/>
      <c r="AB51" s="153"/>
      <c r="AD51" s="154"/>
      <c r="AE51" s="154"/>
      <c r="AF51" s="154"/>
      <c r="AG51" s="154"/>
      <c r="AH51" s="154"/>
      <c r="AI51" s="154"/>
      <c r="AJ51" s="154"/>
    </row>
    <row r="52" ht="4.9" customHeight="1" spans="1:36" x14ac:dyDescent="0.25">
      <c r="A52" s="155"/>
      <c r="B52" s="156"/>
      <c r="C52" s="156"/>
      <c r="D52" s="156"/>
      <c r="E52" s="156"/>
      <c r="F52" s="156"/>
      <c r="G52" s="156"/>
      <c r="H52" s="157"/>
      <c r="J52" s="155"/>
      <c r="K52" s="156"/>
      <c r="L52" s="156"/>
      <c r="M52" s="156"/>
      <c r="N52" s="156"/>
      <c r="O52" s="156"/>
      <c r="P52" s="156"/>
      <c r="Q52" s="156"/>
      <c r="R52" s="157"/>
      <c r="T52" s="155"/>
      <c r="U52" s="156"/>
      <c r="V52" s="156"/>
      <c r="W52" s="156"/>
      <c r="X52" s="156"/>
      <c r="Y52" s="156"/>
      <c r="Z52" s="156"/>
      <c r="AA52" s="156"/>
      <c r="AB52" s="157"/>
      <c r="AD52" s="5"/>
      <c r="AE52" s="5"/>
      <c r="AF52" s="5"/>
      <c r="AG52" s="5"/>
      <c r="AH52" s="5"/>
      <c r="AI52" s="5"/>
      <c r="AJ52" s="5"/>
    </row>
    <row r="53" ht="13.9" customHeight="1" spans="1:36" x14ac:dyDescent="0.25">
      <c r="A53" s="158" t="s">
        <v>125</v>
      </c>
      <c r="B53" s="159"/>
      <c r="C53" s="159"/>
      <c r="D53" s="159"/>
      <c r="E53" s="159"/>
      <c r="F53" s="159"/>
      <c r="G53" s="159"/>
      <c r="H53" s="160"/>
      <c r="J53" s="158" t="s">
        <v>126</v>
      </c>
      <c r="K53" s="159"/>
      <c r="L53" s="159"/>
      <c r="M53" s="159"/>
      <c r="N53" s="159"/>
      <c r="O53" s="159"/>
      <c r="P53" s="159"/>
      <c r="Q53" s="159"/>
      <c r="R53" s="160"/>
      <c r="T53" s="161" t="s">
        <v>127</v>
      </c>
      <c r="U53" s="162"/>
      <c r="V53" s="162"/>
      <c r="W53" s="162"/>
      <c r="X53" s="162"/>
      <c r="Y53" s="162"/>
      <c r="Z53" s="162"/>
      <c r="AA53" s="162"/>
      <c r="AB53" s="163"/>
      <c r="AD53" s="164"/>
      <c r="AE53" s="164"/>
      <c r="AF53" s="164"/>
      <c r="AG53" s="165"/>
      <c r="AH53" s="165"/>
      <c r="AI53" s="166"/>
      <c r="AJ53" s="165"/>
    </row>
    <row r="54" ht="13.9" customHeight="1" spans="1:36" x14ac:dyDescent="0.25">
      <c r="A54" s="158" t="s">
        <v>128</v>
      </c>
      <c r="B54" s="159"/>
      <c r="C54" s="159"/>
      <c r="D54" s="159"/>
      <c r="E54" s="159"/>
      <c r="F54" s="159"/>
      <c r="G54" s="159"/>
      <c r="H54" s="160"/>
      <c r="J54" s="158" t="s">
        <v>129</v>
      </c>
      <c r="K54" s="159"/>
      <c r="L54" s="159"/>
      <c r="M54" s="159"/>
      <c r="N54" s="159"/>
      <c r="O54" s="159"/>
      <c r="P54" s="159"/>
      <c r="Q54" s="159"/>
      <c r="R54" s="160"/>
      <c r="T54" s="161" t="s">
        <v>130</v>
      </c>
      <c r="U54" s="162"/>
      <c r="V54" s="162"/>
      <c r="W54" s="162"/>
      <c r="X54" s="162"/>
      <c r="Y54" s="162"/>
      <c r="Z54" s="162"/>
      <c r="AA54" s="162"/>
      <c r="AB54" s="163"/>
      <c r="AD54" s="164"/>
      <c r="AE54" s="164"/>
      <c r="AF54" s="164"/>
      <c r="AG54" s="165"/>
      <c r="AH54" s="165"/>
      <c r="AI54" s="165"/>
      <c r="AJ54" s="165"/>
    </row>
    <row r="55" ht="13.9" customHeight="1" spans="1:36" x14ac:dyDescent="0.25">
      <c r="A55" s="158" t="s">
        <v>131</v>
      </c>
      <c r="B55" s="159"/>
      <c r="C55" s="159"/>
      <c r="D55" s="159"/>
      <c r="E55" s="159"/>
      <c r="F55" s="159"/>
      <c r="G55" s="159"/>
      <c r="H55" s="160"/>
      <c r="J55" s="158" t="s">
        <v>132</v>
      </c>
      <c r="K55" s="159"/>
      <c r="L55" s="159"/>
      <c r="M55" s="159"/>
      <c r="N55" s="159"/>
      <c r="O55" s="159"/>
      <c r="P55" s="159"/>
      <c r="Q55" s="159"/>
      <c r="R55" s="160"/>
      <c r="T55" s="161" t="s">
        <v>133</v>
      </c>
      <c r="U55" s="162"/>
      <c r="V55" s="162"/>
      <c r="W55" s="162"/>
      <c r="X55" s="162"/>
      <c r="Y55" s="162"/>
      <c r="Z55" s="162"/>
      <c r="AA55" s="162"/>
      <c r="AB55" s="163"/>
      <c r="AD55" s="164"/>
      <c r="AE55" s="164"/>
      <c r="AF55" s="164"/>
      <c r="AG55" s="165"/>
      <c r="AH55" s="165"/>
      <c r="AI55" s="165"/>
      <c r="AJ55" s="165"/>
    </row>
    <row r="56" ht="13.9" customHeight="1" spans="1:36" x14ac:dyDescent="0.25">
      <c r="A56" s="158" t="s">
        <v>134</v>
      </c>
      <c r="B56" s="159"/>
      <c r="C56" s="159"/>
      <c r="D56" s="159"/>
      <c r="E56" s="159"/>
      <c r="F56" s="159"/>
      <c r="G56" s="159"/>
      <c r="H56" s="160"/>
      <c r="J56" s="158" t="s">
        <v>135</v>
      </c>
      <c r="K56" s="159"/>
      <c r="L56" s="159"/>
      <c r="M56" s="159"/>
      <c r="N56" s="159"/>
      <c r="O56" s="159"/>
      <c r="P56" s="159"/>
      <c r="Q56" s="159"/>
      <c r="R56" s="160"/>
      <c r="T56" s="161" t="s">
        <v>136</v>
      </c>
      <c r="U56" s="162"/>
      <c r="V56" s="162"/>
      <c r="W56" s="162"/>
      <c r="X56" s="162"/>
      <c r="Y56" s="162"/>
      <c r="Z56" s="162"/>
      <c r="AA56" s="162"/>
      <c r="AB56" s="163"/>
      <c r="AD56" s="164"/>
      <c r="AE56" s="164"/>
      <c r="AF56" s="164"/>
      <c r="AG56" s="165"/>
      <c r="AH56" s="165"/>
      <c r="AI56" s="165"/>
      <c r="AJ56" s="165"/>
    </row>
    <row r="57" ht="28.15" customHeight="1" spans="1:36" x14ac:dyDescent="0.25">
      <c r="A57" s="158" t="s">
        <v>137</v>
      </c>
      <c r="B57" s="159"/>
      <c r="C57" s="159"/>
      <c r="D57" s="159"/>
      <c r="E57" s="159"/>
      <c r="F57" s="159"/>
      <c r="G57" s="159"/>
      <c r="H57" s="160"/>
      <c r="J57" s="158" t="s">
        <v>138</v>
      </c>
      <c r="K57" s="159"/>
      <c r="L57" s="159"/>
      <c r="M57" s="159"/>
      <c r="N57" s="159"/>
      <c r="O57" s="159"/>
      <c r="P57" s="159"/>
      <c r="Q57" s="159"/>
      <c r="R57" s="160"/>
      <c r="T57" s="161" t="s">
        <v>139</v>
      </c>
      <c r="U57" s="162"/>
      <c r="V57" s="162"/>
      <c r="W57" s="162"/>
      <c r="X57" s="162"/>
      <c r="Y57" s="162"/>
      <c r="Z57" s="162"/>
      <c r="AA57" s="162"/>
      <c r="AB57" s="163"/>
      <c r="AD57" s="164"/>
      <c r="AE57" s="164"/>
      <c r="AF57" s="164"/>
      <c r="AG57" s="165"/>
      <c r="AH57" s="165"/>
      <c r="AI57" s="165"/>
      <c r="AJ57" s="165"/>
    </row>
    <row r="58" ht="28.15" customHeight="1" spans="1:36" x14ac:dyDescent="0.25">
      <c r="A58" s="158" t="s">
        <v>140</v>
      </c>
      <c r="B58" s="159"/>
      <c r="C58" s="159"/>
      <c r="D58" s="159"/>
      <c r="E58" s="159"/>
      <c r="F58" s="159"/>
      <c r="G58" s="159"/>
      <c r="H58" s="160"/>
      <c r="J58" s="158" t="s">
        <v>141</v>
      </c>
      <c r="K58" s="159"/>
      <c r="L58" s="159"/>
      <c r="M58" s="159"/>
      <c r="N58" s="159"/>
      <c r="O58" s="159"/>
      <c r="P58" s="159"/>
      <c r="Q58" s="159"/>
      <c r="R58" s="160"/>
      <c r="T58" s="161" t="s">
        <v>142</v>
      </c>
      <c r="U58" s="162"/>
      <c r="V58" s="162"/>
      <c r="W58" s="162"/>
      <c r="X58" s="162"/>
      <c r="Y58" s="162"/>
      <c r="Z58" s="162"/>
      <c r="AA58" s="162"/>
      <c r="AB58" s="163"/>
      <c r="AD58" s="164"/>
      <c r="AE58" s="164"/>
      <c r="AF58" s="164"/>
      <c r="AG58" s="165"/>
      <c r="AH58" s="165"/>
      <c r="AI58" s="165"/>
      <c r="AJ58" s="165"/>
    </row>
    <row r="59" ht="28.15" customHeight="1" spans="1:36" x14ac:dyDescent="0.25">
      <c r="A59" s="158" t="s">
        <v>143</v>
      </c>
      <c r="B59" s="159"/>
      <c r="C59" s="159"/>
      <c r="D59" s="159"/>
      <c r="E59" s="159"/>
      <c r="F59" s="159"/>
      <c r="G59" s="159"/>
      <c r="H59" s="160"/>
      <c r="J59" s="158" t="s">
        <v>144</v>
      </c>
      <c r="K59" s="159"/>
      <c r="L59" s="159"/>
      <c r="M59" s="159"/>
      <c r="N59" s="159"/>
      <c r="O59" s="159"/>
      <c r="P59" s="159"/>
      <c r="Q59" s="159"/>
      <c r="R59" s="160"/>
      <c r="T59" s="161" t="s">
        <v>145</v>
      </c>
      <c r="U59" s="162"/>
      <c r="V59" s="162"/>
      <c r="W59" s="162"/>
      <c r="X59" s="162"/>
      <c r="Y59" s="162"/>
      <c r="Z59" s="162"/>
      <c r="AA59" s="162"/>
      <c r="AB59" s="163"/>
      <c r="AD59" s="164"/>
      <c r="AE59" s="164"/>
      <c r="AF59" s="164"/>
      <c r="AG59" s="165"/>
      <c r="AH59" s="165"/>
      <c r="AI59" s="165"/>
      <c r="AJ59" s="165"/>
    </row>
    <row r="60" ht="28.15" customHeight="1" spans="1:36" x14ac:dyDescent="0.25">
      <c r="A60" s="158" t="s">
        <v>146</v>
      </c>
      <c r="B60" s="159"/>
      <c r="C60" s="159"/>
      <c r="D60" s="159"/>
      <c r="E60" s="159"/>
      <c r="F60" s="159"/>
      <c r="G60" s="159"/>
      <c r="H60" s="160"/>
      <c r="J60" s="158" t="s">
        <v>147</v>
      </c>
      <c r="K60" s="159"/>
      <c r="L60" s="159"/>
      <c r="M60" s="159"/>
      <c r="N60" s="159"/>
      <c r="O60" s="159"/>
      <c r="P60" s="159"/>
      <c r="Q60" s="159"/>
      <c r="R60" s="160"/>
      <c r="T60" s="161" t="s">
        <v>148</v>
      </c>
      <c r="U60" s="162"/>
      <c r="V60" s="162"/>
      <c r="W60" s="162"/>
      <c r="X60" s="162"/>
      <c r="Y60" s="162"/>
      <c r="Z60" s="162"/>
      <c r="AA60" s="162"/>
      <c r="AB60" s="163"/>
      <c r="AD60" s="164"/>
      <c r="AE60" s="164"/>
      <c r="AF60" s="164"/>
      <c r="AG60" s="165"/>
      <c r="AH60" s="165"/>
      <c r="AI60" s="165"/>
      <c r="AJ60" s="165"/>
    </row>
    <row r="61" ht="28.15" customHeight="1" spans="1:36" x14ac:dyDescent="0.25">
      <c r="A61" s="158" t="s">
        <v>149</v>
      </c>
      <c r="B61" s="159"/>
      <c r="C61" s="159"/>
      <c r="D61" s="159"/>
      <c r="E61" s="159"/>
      <c r="F61" s="159"/>
      <c r="G61" s="159"/>
      <c r="H61" s="160"/>
      <c r="J61" s="158" t="s">
        <v>150</v>
      </c>
      <c r="K61" s="159"/>
      <c r="L61" s="159"/>
      <c r="M61" s="159"/>
      <c r="N61" s="159"/>
      <c r="O61" s="159"/>
      <c r="P61" s="159"/>
      <c r="Q61" s="159"/>
      <c r="R61" s="160"/>
      <c r="T61" s="161" t="s">
        <v>151</v>
      </c>
      <c r="U61" s="162"/>
      <c r="V61" s="162"/>
      <c r="W61" s="162"/>
      <c r="X61" s="162"/>
      <c r="Y61" s="162"/>
      <c r="Z61" s="162"/>
      <c r="AA61" s="162"/>
      <c r="AB61" s="163"/>
      <c r="AC61" s="5"/>
      <c r="AD61" s="164"/>
      <c r="AE61" s="164"/>
      <c r="AF61" s="164"/>
      <c r="AG61" s="165"/>
      <c r="AH61" s="165"/>
      <c r="AI61" s="165"/>
      <c r="AJ61" s="165"/>
    </row>
    <row r="62" ht="28.15" customHeight="1" spans="1:36" x14ac:dyDescent="0.25">
      <c r="A62" s="167" t="s">
        <v>152</v>
      </c>
      <c r="B62" s="168"/>
      <c r="C62" s="168"/>
      <c r="D62" s="168"/>
      <c r="E62" s="168"/>
      <c r="F62" s="168"/>
      <c r="G62" s="168"/>
      <c r="H62" s="169"/>
      <c r="J62" s="167" t="s">
        <v>153</v>
      </c>
      <c r="K62" s="168"/>
      <c r="L62" s="168"/>
      <c r="M62" s="168"/>
      <c r="N62" s="168"/>
      <c r="O62" s="168"/>
      <c r="P62" s="168"/>
      <c r="Q62" s="168"/>
      <c r="R62" s="169"/>
      <c r="T62" s="170" t="s">
        <v>154</v>
      </c>
      <c r="U62" s="171"/>
      <c r="V62" s="171"/>
      <c r="W62" s="171"/>
      <c r="X62" s="171"/>
      <c r="Y62" s="171"/>
      <c r="Z62" s="171"/>
      <c r="AA62" s="171"/>
      <c r="AB62" s="172"/>
      <c r="AD62" s="164"/>
      <c r="AE62" s="164"/>
      <c r="AF62" s="164"/>
      <c r="AG62" s="165"/>
      <c r="AH62" s="165"/>
      <c r="AI62" s="166"/>
      <c r="AJ62" s="165"/>
    </row>
    <row r="63" ht="27.6" customHeight="1" spans="30:36" x14ac:dyDescent="0.25">
      <c r="AD63" s="164"/>
      <c r="AE63" s="164"/>
      <c r="AF63" s="164"/>
      <c r="AG63" s="164"/>
      <c r="AH63" s="164"/>
      <c r="AI63" s="164"/>
      <c r="AJ63" s="164"/>
    </row>
    <row r="64" ht="13.9" customHeight="1" spans="10:27" x14ac:dyDescent="0.25">
      <c r="J64" s="173" t="s">
        <v>155</v>
      </c>
      <c r="K64" s="174"/>
      <c r="L64" s="174"/>
      <c r="M64" s="174"/>
      <c r="N64" s="174"/>
      <c r="O64" s="175"/>
      <c r="T64" s="176" t="s">
        <v>156</v>
      </c>
      <c r="U64" s="177"/>
      <c r="V64" s="177"/>
      <c r="W64" s="177"/>
      <c r="X64" s="177"/>
      <c r="Y64" s="177"/>
      <c r="Z64" s="177"/>
      <c r="AA64" s="178"/>
    </row>
    <row r="65" ht="13.9" customHeight="1" spans="10:27" x14ac:dyDescent="0.25">
      <c r="J65" s="179" t="s">
        <v>157</v>
      </c>
      <c r="K65" s="180"/>
      <c r="L65" s="180"/>
      <c r="M65" s="180"/>
      <c r="N65" s="180"/>
      <c r="O65" s="181"/>
      <c r="T65" s="182"/>
      <c r="U65" s="183"/>
      <c r="V65" s="183"/>
      <c r="W65" s="183"/>
      <c r="X65" s="183"/>
      <c r="Y65" s="183"/>
      <c r="Z65" s="183"/>
      <c r="AA65" s="184"/>
    </row>
    <row r="66" ht="13.9" customHeight="1" spans="10:27" x14ac:dyDescent="0.25">
      <c r="J66" s="179" t="s">
        <v>158</v>
      </c>
      <c r="K66" s="180"/>
      <c r="L66" s="180"/>
      <c r="M66" s="180"/>
      <c r="N66" s="180"/>
      <c r="O66" s="181"/>
      <c r="T66" s="182" t="s">
        <v>159</v>
      </c>
      <c r="U66" s="183"/>
      <c r="V66" s="183"/>
      <c r="W66" s="183"/>
      <c r="X66" s="183"/>
      <c r="Y66" s="183"/>
      <c r="Z66" s="183"/>
      <c r="AA66" s="184"/>
    </row>
    <row r="67" ht="13.9" customHeight="1" spans="10:27" x14ac:dyDescent="0.25">
      <c r="J67" s="179" t="s">
        <v>160</v>
      </c>
      <c r="K67" s="180"/>
      <c r="L67" s="180"/>
      <c r="M67" s="180"/>
      <c r="N67" s="180"/>
      <c r="O67" s="181"/>
      <c r="T67" s="182" t="s">
        <v>161</v>
      </c>
      <c r="U67" s="183"/>
      <c r="V67" s="183"/>
      <c r="W67" s="183"/>
      <c r="X67" s="183"/>
      <c r="Y67" s="183"/>
      <c r="Z67" s="183"/>
      <c r="AA67" s="184"/>
    </row>
    <row r="68" ht="13.9" customHeight="1" spans="10:27" x14ac:dyDescent="0.25">
      <c r="J68" s="179" t="s">
        <v>162</v>
      </c>
      <c r="K68" s="180"/>
      <c r="L68" s="180"/>
      <c r="M68" s="180"/>
      <c r="N68" s="180"/>
      <c r="O68" s="181"/>
      <c r="T68" s="182" t="s">
        <v>163</v>
      </c>
      <c r="U68" s="183"/>
      <c r="V68" s="183"/>
      <c r="W68" s="183"/>
      <c r="X68" s="183"/>
      <c r="Y68" s="183"/>
      <c r="Z68" s="183"/>
      <c r="AA68" s="184"/>
    </row>
    <row r="69" ht="13.9" customHeight="1" spans="10:27" x14ac:dyDescent="0.25">
      <c r="J69" s="179" t="s">
        <v>164</v>
      </c>
      <c r="K69" s="180"/>
      <c r="L69" s="180"/>
      <c r="M69" s="180"/>
      <c r="N69" s="180"/>
      <c r="O69" s="181"/>
      <c r="T69" s="182" t="s">
        <v>165</v>
      </c>
      <c r="U69" s="183"/>
      <c r="V69" s="183"/>
      <c r="W69" s="183"/>
      <c r="X69" s="183"/>
      <c r="Y69" s="183"/>
      <c r="Z69" s="183"/>
      <c r="AA69" s="184"/>
    </row>
    <row r="70" ht="13.9" customHeight="1" spans="10:27" x14ac:dyDescent="0.25">
      <c r="J70" s="179" t="s">
        <v>166</v>
      </c>
      <c r="K70" s="180"/>
      <c r="L70" s="180"/>
      <c r="M70" s="180"/>
      <c r="N70" s="180"/>
      <c r="O70" s="181"/>
      <c r="T70" s="182" t="s">
        <v>167</v>
      </c>
      <c r="U70" s="183"/>
      <c r="V70" s="183"/>
      <c r="W70" s="183"/>
      <c r="X70" s="183"/>
      <c r="Y70" s="183"/>
      <c r="Z70" s="183"/>
      <c r="AA70" s="184"/>
    </row>
    <row r="71" ht="13.9" customHeight="1" spans="10:27" x14ac:dyDescent="0.25">
      <c r="J71" s="179" t="s">
        <v>168</v>
      </c>
      <c r="K71" s="180"/>
      <c r="L71" s="180"/>
      <c r="M71" s="180"/>
      <c r="N71" s="180"/>
      <c r="O71" s="181"/>
      <c r="T71" s="182" t="s">
        <v>169</v>
      </c>
      <c r="U71" s="183"/>
      <c r="V71" s="183"/>
      <c r="W71" s="183"/>
      <c r="X71" s="183"/>
      <c r="Y71" s="183"/>
      <c r="Z71" s="183"/>
      <c r="AA71" s="184"/>
    </row>
    <row r="72" ht="13.9" customHeight="1" spans="10:27" x14ac:dyDescent="0.25">
      <c r="J72" s="179" t="s">
        <v>170</v>
      </c>
      <c r="K72" s="180"/>
      <c r="L72" s="180"/>
      <c r="M72" s="180"/>
      <c r="N72" s="180"/>
      <c r="O72" s="181"/>
      <c r="T72" s="182" t="s">
        <v>171</v>
      </c>
      <c r="U72" s="183"/>
      <c r="V72" s="183"/>
      <c r="W72" s="183"/>
      <c r="X72" s="183"/>
      <c r="Y72" s="183"/>
      <c r="Z72" s="183"/>
      <c r="AA72" s="184"/>
    </row>
    <row r="73" ht="13.9" customHeight="1" spans="10:27" x14ac:dyDescent="0.25">
      <c r="J73" s="179" t="s">
        <v>172</v>
      </c>
      <c r="K73" s="180"/>
      <c r="L73" s="180"/>
      <c r="M73" s="180"/>
      <c r="N73" s="180"/>
      <c r="O73" s="181"/>
      <c r="T73" s="182" t="s">
        <v>173</v>
      </c>
      <c r="U73" s="183"/>
      <c r="V73" s="183"/>
      <c r="W73" s="183"/>
      <c r="X73" s="183"/>
      <c r="Y73" s="183"/>
      <c r="Z73" s="183"/>
      <c r="AA73" s="184"/>
    </row>
    <row r="74" ht="13.9" customHeight="1" spans="9:27" x14ac:dyDescent="0.25">
      <c r="I74" s="185"/>
      <c r="J74" s="179" t="s">
        <v>174</v>
      </c>
      <c r="K74" s="180"/>
      <c r="L74" s="180"/>
      <c r="M74" s="180"/>
      <c r="N74" s="180"/>
      <c r="O74" s="181"/>
      <c r="T74" s="182" t="s">
        <v>175</v>
      </c>
      <c r="U74" s="183"/>
      <c r="V74" s="183"/>
      <c r="W74" s="183"/>
      <c r="X74" s="183"/>
      <c r="Y74" s="183"/>
      <c r="Z74" s="183"/>
      <c r="AA74" s="184"/>
    </row>
    <row r="75" ht="13.9" customHeight="1" spans="9:27" x14ac:dyDescent="0.25">
      <c r="I75" s="5"/>
      <c r="J75" s="186" t="s">
        <v>176</v>
      </c>
      <c r="K75" s="187"/>
      <c r="L75" s="187"/>
      <c r="M75" s="187"/>
      <c r="N75" s="187"/>
      <c r="O75" s="188"/>
      <c r="T75" s="182" t="s">
        <v>177</v>
      </c>
      <c r="U75" s="183"/>
      <c r="V75" s="183"/>
      <c r="W75" s="183"/>
      <c r="X75" s="183"/>
      <c r="Y75" s="183"/>
      <c r="Z75" s="183"/>
      <c r="AA75" s="184"/>
    </row>
    <row r="76" ht="13.5" customHeight="1" spans="9:27" x14ac:dyDescent="0.25">
      <c r="I76" s="5"/>
      <c r="J76" s="5"/>
      <c r="K76" s="5"/>
      <c r="T76" s="189" t="s">
        <v>178</v>
      </c>
      <c r="U76" s="190"/>
      <c r="V76" s="190"/>
      <c r="W76" s="190"/>
      <c r="X76" s="190"/>
      <c r="Y76" s="190"/>
      <c r="Z76" s="190"/>
      <c r="AA76" s="191"/>
    </row>
    <row r="77" spans="6:11" x14ac:dyDescent="0.25">
      <c r="F77" s="5"/>
      <c r="G77" s="5"/>
      <c r="H77" s="5"/>
      <c r="I77" s="5"/>
      <c r="J77" s="5"/>
      <c r="K77" s="5"/>
    </row>
    <row r="78" spans="6:11" x14ac:dyDescent="0.25">
      <c r="F78" s="5"/>
      <c r="G78" s="5"/>
      <c r="H78" s="5"/>
      <c r="I78" s="5"/>
      <c r="J78" s="5"/>
      <c r="K78" s="5"/>
    </row>
    <row r="79" spans="6:11" x14ac:dyDescent="0.25">
      <c r="F79" s="5"/>
      <c r="G79" s="5"/>
      <c r="H79" s="5"/>
      <c r="I79" s="5"/>
      <c r="J79" s="5"/>
      <c r="K79" s="5"/>
    </row>
    <row r="80" spans="6:8" x14ac:dyDescent="0.25">
      <c r="F80" s="5"/>
      <c r="G80" s="5"/>
      <c r="H80" s="5"/>
    </row>
    <row r="81" spans="1:8" x14ac:dyDescent="0.25">
      <c r="A81" s="5"/>
      <c r="B81" s="5"/>
      <c r="C81" s="5"/>
      <c r="D81" s="5"/>
      <c r="E81" s="5"/>
      <c r="F81" s="5"/>
      <c r="G81" s="5"/>
      <c r="H81" s="5"/>
    </row>
    <row r="82" ht="15" customHeight="1" spans="1:8" x14ac:dyDescent="0.25">
      <c r="A82" s="154"/>
      <c r="B82" s="154"/>
      <c r="C82" s="154"/>
      <c r="D82" s="154"/>
      <c r="E82" s="154"/>
      <c r="F82" s="154"/>
      <c r="G82" s="154"/>
      <c r="H82" s="5"/>
    </row>
    <row r="83" ht="15" customHeight="1" spans="1:8" x14ac:dyDescent="0.25">
      <c r="A83" s="164"/>
      <c r="B83" s="164"/>
      <c r="C83" s="164"/>
      <c r="D83" s="165"/>
      <c r="E83" s="165"/>
      <c r="F83" s="166"/>
      <c r="G83" s="165"/>
      <c r="H83" s="5"/>
    </row>
    <row r="84" ht="15" customHeight="1" spans="1:8" x14ac:dyDescent="0.25">
      <c r="A84" s="164"/>
      <c r="B84" s="164"/>
      <c r="C84" s="164"/>
      <c r="D84" s="165"/>
      <c r="E84" s="165"/>
      <c r="F84" s="165"/>
      <c r="G84" s="165"/>
      <c r="H84" s="5"/>
    </row>
    <row r="85" ht="15" customHeight="1" spans="1:8" x14ac:dyDescent="0.25">
      <c r="A85" s="164"/>
      <c r="B85" s="164"/>
      <c r="C85" s="164"/>
      <c r="D85" s="165"/>
      <c r="E85" s="165"/>
      <c r="F85" s="165"/>
      <c r="G85" s="165"/>
      <c r="H85" s="5"/>
    </row>
    <row r="86" ht="15" customHeight="1" spans="1:8" x14ac:dyDescent="0.25">
      <c r="A86" s="164"/>
      <c r="B86" s="164"/>
      <c r="C86" s="164"/>
      <c r="D86" s="165"/>
      <c r="E86" s="165"/>
      <c r="F86" s="165"/>
      <c r="G86" s="165"/>
      <c r="H86" s="5"/>
    </row>
    <row r="87" ht="15" customHeight="1" spans="1:7" x14ac:dyDescent="0.25">
      <c r="A87" s="164"/>
      <c r="B87" s="164"/>
      <c r="C87" s="164"/>
      <c r="D87" s="165"/>
      <c r="E87" s="165"/>
      <c r="F87" s="165"/>
      <c r="G87" s="165"/>
    </row>
    <row r="88" ht="15" customHeight="1" spans="1:30" x14ac:dyDescent="0.25">
      <c r="A88" s="164"/>
      <c r="B88" s="164"/>
      <c r="C88" s="164"/>
      <c r="D88" s="165"/>
      <c r="E88" s="165"/>
      <c r="F88" s="165"/>
      <c r="G88" s="165"/>
      <c r="W88" s="5"/>
      <c r="X88" s="5"/>
      <c r="Y88" s="5"/>
      <c r="Z88" s="5"/>
      <c r="AA88" s="5"/>
      <c r="AB88" s="5"/>
      <c r="AC88" s="5"/>
      <c r="AD88" s="5"/>
    </row>
    <row r="89" ht="15" customHeight="1" spans="1:7" x14ac:dyDescent="0.25">
      <c r="A89" s="164"/>
      <c r="B89" s="164"/>
      <c r="C89" s="164"/>
      <c r="D89" s="165"/>
      <c r="E89" s="165"/>
      <c r="F89" s="165"/>
      <c r="G89" s="165"/>
    </row>
    <row r="90" ht="15" customHeight="1" spans="1:7" x14ac:dyDescent="0.25">
      <c r="A90" s="164"/>
      <c r="B90" s="164"/>
      <c r="C90" s="164"/>
      <c r="D90" s="165"/>
      <c r="E90" s="165"/>
      <c r="F90" s="165"/>
      <c r="G90" s="165"/>
    </row>
    <row r="91" ht="15" customHeight="1" spans="1:7" x14ac:dyDescent="0.25">
      <c r="A91" s="164"/>
      <c r="B91" s="164"/>
      <c r="C91" s="164"/>
      <c r="D91" s="165"/>
      <c r="E91" s="165"/>
      <c r="F91" s="165"/>
      <c r="G91" s="165"/>
    </row>
    <row r="92" ht="15" customHeight="1" spans="1:7" x14ac:dyDescent="0.25">
      <c r="A92" s="164"/>
      <c r="B92" s="164"/>
      <c r="C92" s="164"/>
      <c r="D92" s="165"/>
      <c r="E92" s="165"/>
      <c r="F92" s="166"/>
      <c r="G92" s="165"/>
    </row>
    <row r="93" ht="15" customHeight="1" spans="1:16" x14ac:dyDescent="0.25">
      <c r="A93" s="164"/>
      <c r="B93" s="164"/>
      <c r="C93" s="164"/>
      <c r="D93" s="164"/>
      <c r="E93" s="164"/>
      <c r="F93" s="164"/>
      <c r="G93" s="164"/>
      <c r="I93" s="5"/>
      <c r="J93" s="5"/>
      <c r="K93" s="5"/>
      <c r="L93" s="5"/>
      <c r="M93" s="5"/>
      <c r="N93" s="5"/>
      <c r="O93" s="5"/>
      <c r="P93" s="5"/>
    </row>
    <row r="94" spans="1:7" x14ac:dyDescent="0.25">
      <c r="A94" s="5"/>
      <c r="B94" s="5"/>
      <c r="C94" s="5"/>
      <c r="D94" s="5"/>
      <c r="E94" s="5"/>
      <c r="F94" s="5"/>
      <c r="G94" s="5"/>
    </row>
    <row r="96" spans="1:6" x14ac:dyDescent="0.25">
      <c r="A96" s="5"/>
      <c r="B96" s="5"/>
      <c r="C96" s="5"/>
      <c r="D96" s="5"/>
      <c r="E96" s="5"/>
      <c r="F96" s="5"/>
    </row>
    <row r="97" spans="1:6" x14ac:dyDescent="0.25">
      <c r="A97" s="192"/>
      <c r="B97" s="192"/>
      <c r="C97" s="192"/>
      <c r="D97" s="5"/>
      <c r="E97" s="5"/>
      <c r="F97" s="5"/>
    </row>
    <row r="98" spans="1:6" x14ac:dyDescent="0.25">
      <c r="A98" s="193"/>
      <c r="B98" s="193"/>
      <c r="C98" s="193"/>
      <c r="D98" s="5"/>
      <c r="E98" s="5"/>
      <c r="F98" s="5"/>
    </row>
    <row r="99" spans="1:6" x14ac:dyDescent="0.25">
      <c r="A99" s="194"/>
      <c r="B99" s="195"/>
      <c r="C99" s="195"/>
      <c r="D99" s="5"/>
      <c r="E99" s="5"/>
      <c r="F99" s="5"/>
    </row>
    <row r="100" spans="1:6" x14ac:dyDescent="0.25">
      <c r="A100" s="194"/>
      <c r="B100" s="196"/>
      <c r="C100" s="195"/>
      <c r="D100" s="5"/>
      <c r="E100" s="5"/>
      <c r="F100" s="5"/>
    </row>
    <row r="101" spans="1:6" x14ac:dyDescent="0.25">
      <c r="A101" s="194"/>
      <c r="B101" s="195"/>
      <c r="C101" s="195"/>
      <c r="D101" s="5"/>
      <c r="E101" s="5"/>
      <c r="F101" s="5"/>
    </row>
    <row r="102" spans="1:6" x14ac:dyDescent="0.25">
      <c r="A102" s="194"/>
      <c r="B102" s="195"/>
      <c r="C102" s="195"/>
      <c r="D102" s="5"/>
      <c r="E102" s="5"/>
      <c r="F102" s="5"/>
    </row>
    <row r="103" spans="1:6" x14ac:dyDescent="0.25">
      <c r="A103" s="194"/>
      <c r="B103" s="196"/>
      <c r="C103" s="196"/>
      <c r="D103" s="5"/>
      <c r="E103" s="5"/>
      <c r="F103" s="5"/>
    </row>
    <row r="104" spans="1:6" x14ac:dyDescent="0.25">
      <c r="A104" s="194"/>
      <c r="B104" s="195"/>
      <c r="C104" s="195"/>
      <c r="D104" s="5"/>
      <c r="E104" s="5"/>
      <c r="F104" s="5"/>
    </row>
    <row r="105" spans="1:6" x14ac:dyDescent="0.25">
      <c r="A105" s="194"/>
      <c r="B105" s="195"/>
      <c r="C105" s="195"/>
      <c r="D105" s="5"/>
      <c r="E105" s="5"/>
      <c r="F105" s="5"/>
    </row>
    <row r="106" spans="1:6" x14ac:dyDescent="0.25">
      <c r="A106" s="195"/>
      <c r="B106" s="195"/>
      <c r="C106" s="195"/>
      <c r="D106" s="5"/>
      <c r="E106" s="5"/>
      <c r="F106" s="5"/>
    </row>
    <row r="107" spans="1:6" x14ac:dyDescent="0.25">
      <c r="A107" s="193"/>
      <c r="B107" s="193"/>
      <c r="C107" s="193"/>
      <c r="D107" s="5"/>
      <c r="E107" s="5"/>
      <c r="F107" s="5"/>
    </row>
    <row r="108" spans="1:6" x14ac:dyDescent="0.25">
      <c r="A108" s="19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</sheetData>
  <mergeCells count="372">
    <mergeCell ref="A1:AH1"/>
    <mergeCell ref="A2:AH2"/>
    <mergeCell ref="A3:AH3"/>
    <mergeCell ref="D5:J5"/>
    <mergeCell ref="Q5:W5"/>
    <mergeCell ref="AB5:AC5"/>
    <mergeCell ref="F6:J6"/>
    <mergeCell ref="Q6:W6"/>
    <mergeCell ref="AB6:AH6"/>
    <mergeCell ref="C7:J7"/>
    <mergeCell ref="Q7:W7"/>
    <mergeCell ref="AC7:AD7"/>
    <mergeCell ref="AE7:AH7"/>
    <mergeCell ref="A9:C10"/>
    <mergeCell ref="D9:F10"/>
    <mergeCell ref="G9:I10"/>
    <mergeCell ref="L9:N10"/>
    <mergeCell ref="P9:R10"/>
    <mergeCell ref="S9:U10"/>
    <mergeCell ref="X9:Z10"/>
    <mergeCell ref="AA9:AC10"/>
    <mergeCell ref="AD9:AH9"/>
    <mergeCell ref="J9:J10"/>
    <mergeCell ref="K9:K10"/>
    <mergeCell ref="O9:O10"/>
    <mergeCell ref="V9:V10"/>
    <mergeCell ref="W9:W10"/>
    <mergeCell ref="A11:C11"/>
    <mergeCell ref="D11:F11"/>
    <mergeCell ref="G11:I11"/>
    <mergeCell ref="L11:N11"/>
    <mergeCell ref="P11:R11"/>
    <mergeCell ref="S11:U11"/>
    <mergeCell ref="X11:Z11"/>
    <mergeCell ref="AA11:AC11"/>
    <mergeCell ref="A12:C12"/>
    <mergeCell ref="D12:F12"/>
    <mergeCell ref="G12:I12"/>
    <mergeCell ref="L12:N12"/>
    <mergeCell ref="P12:R12"/>
    <mergeCell ref="S12:U12"/>
    <mergeCell ref="X12:Z12"/>
    <mergeCell ref="AA12:AC12"/>
    <mergeCell ref="A13:C13"/>
    <mergeCell ref="D13:F13"/>
    <mergeCell ref="G13:I13"/>
    <mergeCell ref="L13:N13"/>
    <mergeCell ref="P13:R13"/>
    <mergeCell ref="S13:U13"/>
    <mergeCell ref="X13:Z13"/>
    <mergeCell ref="AA13:AC13"/>
    <mergeCell ref="A14:C14"/>
    <mergeCell ref="D14:F14"/>
    <mergeCell ref="G14:I14"/>
    <mergeCell ref="L14:N14"/>
    <mergeCell ref="P14:R14"/>
    <mergeCell ref="S14:U14"/>
    <mergeCell ref="X14:Z14"/>
    <mergeCell ref="AA14:AC14"/>
    <mergeCell ref="A15:C15"/>
    <mergeCell ref="D15:F15"/>
    <mergeCell ref="G15:I15"/>
    <mergeCell ref="L15:N15"/>
    <mergeCell ref="P15:R15"/>
    <mergeCell ref="S15:U15"/>
    <mergeCell ref="X15:Z15"/>
    <mergeCell ref="AA15:AC15"/>
    <mergeCell ref="A16:C16"/>
    <mergeCell ref="D16:F16"/>
    <mergeCell ref="G16:I16"/>
    <mergeCell ref="L16:N16"/>
    <mergeCell ref="P16:R16"/>
    <mergeCell ref="S16:U16"/>
    <mergeCell ref="X16:Z16"/>
    <mergeCell ref="AA16:AC16"/>
    <mergeCell ref="A17:C17"/>
    <mergeCell ref="D17:F17"/>
    <mergeCell ref="G17:I17"/>
    <mergeCell ref="L17:N17"/>
    <mergeCell ref="P17:R17"/>
    <mergeCell ref="S17:U17"/>
    <mergeCell ref="X17:Z17"/>
    <mergeCell ref="AA17:AC17"/>
    <mergeCell ref="A18:C18"/>
    <mergeCell ref="D18:F18"/>
    <mergeCell ref="G18:I18"/>
    <mergeCell ref="L18:N18"/>
    <mergeCell ref="P18:R18"/>
    <mergeCell ref="S18:U18"/>
    <mergeCell ref="X18:Z18"/>
    <mergeCell ref="AA18:AC18"/>
    <mergeCell ref="A19:C19"/>
    <mergeCell ref="D19:F19"/>
    <mergeCell ref="G19:I19"/>
    <mergeCell ref="L19:N19"/>
    <mergeCell ref="P19:R19"/>
    <mergeCell ref="S19:U19"/>
    <mergeCell ref="X19:Z19"/>
    <mergeCell ref="AA19:AC19"/>
    <mergeCell ref="A20:C20"/>
    <mergeCell ref="D20:F20"/>
    <mergeCell ref="G20:I20"/>
    <mergeCell ref="L20:N20"/>
    <mergeCell ref="P20:R20"/>
    <mergeCell ref="S20:U20"/>
    <mergeCell ref="X20:Z20"/>
    <mergeCell ref="AA20:AC20"/>
    <mergeCell ref="A21:C21"/>
    <mergeCell ref="D21:F21"/>
    <mergeCell ref="G21:I21"/>
    <mergeCell ref="L21:N21"/>
    <mergeCell ref="P21:R21"/>
    <mergeCell ref="S21:U21"/>
    <mergeCell ref="X21:Z21"/>
    <mergeCell ref="AA21:AC21"/>
    <mergeCell ref="A22:C22"/>
    <mergeCell ref="D22:F22"/>
    <mergeCell ref="G22:I22"/>
    <mergeCell ref="L22:N22"/>
    <mergeCell ref="P22:R22"/>
    <mergeCell ref="S22:U22"/>
    <mergeCell ref="X22:Z22"/>
    <mergeCell ref="AA22:AC22"/>
    <mergeCell ref="A23:C23"/>
    <mergeCell ref="D23:F23"/>
    <mergeCell ref="G23:I23"/>
    <mergeCell ref="L23:N23"/>
    <mergeCell ref="P23:R23"/>
    <mergeCell ref="S23:U23"/>
    <mergeCell ref="X23:Z23"/>
    <mergeCell ref="AA23:AC23"/>
    <mergeCell ref="A24:C24"/>
    <mergeCell ref="D24:F24"/>
    <mergeCell ref="G24:I24"/>
    <mergeCell ref="L24:N24"/>
    <mergeCell ref="P24:R24"/>
    <mergeCell ref="S24:U24"/>
    <mergeCell ref="X24:Z24"/>
    <mergeCell ref="AA24:AC24"/>
    <mergeCell ref="A25:C25"/>
    <mergeCell ref="D25:F25"/>
    <mergeCell ref="G25:I25"/>
    <mergeCell ref="L25:N25"/>
    <mergeCell ref="P25:R25"/>
    <mergeCell ref="S25:U25"/>
    <mergeCell ref="X25:Z25"/>
    <mergeCell ref="AA25:AC25"/>
    <mergeCell ref="A26:C26"/>
    <mergeCell ref="D26:F26"/>
    <mergeCell ref="G26:I26"/>
    <mergeCell ref="L26:N26"/>
    <mergeCell ref="P26:R26"/>
    <mergeCell ref="S26:U26"/>
    <mergeCell ref="X26:Z26"/>
    <mergeCell ref="AA26:AC26"/>
    <mergeCell ref="A27:C27"/>
    <mergeCell ref="D27:F27"/>
    <mergeCell ref="G27:I27"/>
    <mergeCell ref="L27:N27"/>
    <mergeCell ref="P27:R27"/>
    <mergeCell ref="S27:U27"/>
    <mergeCell ref="X27:Z27"/>
    <mergeCell ref="AA27:AC27"/>
    <mergeCell ref="A28:C28"/>
    <mergeCell ref="D28:F28"/>
    <mergeCell ref="G28:I28"/>
    <mergeCell ref="L28:N28"/>
    <mergeCell ref="P28:R28"/>
    <mergeCell ref="S28:U28"/>
    <mergeCell ref="X28:Z28"/>
    <mergeCell ref="AA28:AC28"/>
    <mergeCell ref="A29:C29"/>
    <mergeCell ref="D29:F29"/>
    <mergeCell ref="G29:I29"/>
    <mergeCell ref="L29:N29"/>
    <mergeCell ref="P29:R29"/>
    <mergeCell ref="S29:U29"/>
    <mergeCell ref="X29:Z29"/>
    <mergeCell ref="AA29:AC29"/>
    <mergeCell ref="A30:C30"/>
    <mergeCell ref="D30:F30"/>
    <mergeCell ref="G30:I30"/>
    <mergeCell ref="L30:N30"/>
    <mergeCell ref="P30:R30"/>
    <mergeCell ref="S30:U30"/>
    <mergeCell ref="X30:Z30"/>
    <mergeCell ref="AA30:AC30"/>
    <mergeCell ref="A31:C31"/>
    <mergeCell ref="D31:F31"/>
    <mergeCell ref="G31:I31"/>
    <mergeCell ref="L31:N31"/>
    <mergeCell ref="P31:R31"/>
    <mergeCell ref="S31:U31"/>
    <mergeCell ref="X31:Z31"/>
    <mergeCell ref="AA31:AC31"/>
    <mergeCell ref="A32:C32"/>
    <mergeCell ref="D32:F32"/>
    <mergeCell ref="G32:I32"/>
    <mergeCell ref="L32:N32"/>
    <mergeCell ref="P32:R32"/>
    <mergeCell ref="S32:U32"/>
    <mergeCell ref="X32:Z32"/>
    <mergeCell ref="AA32:AC32"/>
    <mergeCell ref="A33:C33"/>
    <mergeCell ref="D33:F33"/>
    <mergeCell ref="G33:I33"/>
    <mergeCell ref="L33:N33"/>
    <mergeCell ref="P33:R33"/>
    <mergeCell ref="S33:U33"/>
    <mergeCell ref="X33:Z33"/>
    <mergeCell ref="AA33:AC33"/>
    <mergeCell ref="A34:C34"/>
    <mergeCell ref="D34:F34"/>
    <mergeCell ref="G34:I34"/>
    <mergeCell ref="L34:N34"/>
    <mergeCell ref="P34:R34"/>
    <mergeCell ref="S34:U34"/>
    <mergeCell ref="X34:Z34"/>
    <mergeCell ref="AA34:AC34"/>
    <mergeCell ref="A35:C35"/>
    <mergeCell ref="D35:F35"/>
    <mergeCell ref="G35:I35"/>
    <mergeCell ref="L35:N35"/>
    <mergeCell ref="P35:R35"/>
    <mergeCell ref="S35:U35"/>
    <mergeCell ref="X35:Z35"/>
    <mergeCell ref="AA35:AC35"/>
    <mergeCell ref="A36:C36"/>
    <mergeCell ref="D36:F36"/>
    <mergeCell ref="G36:I36"/>
    <mergeCell ref="L36:N36"/>
    <mergeCell ref="P36:R36"/>
    <mergeCell ref="S36:U36"/>
    <mergeCell ref="X36:Z36"/>
    <mergeCell ref="AA36:AC36"/>
    <mergeCell ref="A37:C37"/>
    <mergeCell ref="D37:F37"/>
    <mergeCell ref="G37:I37"/>
    <mergeCell ref="L37:N37"/>
    <mergeCell ref="P37:R37"/>
    <mergeCell ref="S37:U37"/>
    <mergeCell ref="X37:Z37"/>
    <mergeCell ref="AA37:AC37"/>
    <mergeCell ref="A38:C38"/>
    <mergeCell ref="D38:F38"/>
    <mergeCell ref="G38:I38"/>
    <mergeCell ref="L38:N38"/>
    <mergeCell ref="P38:R38"/>
    <mergeCell ref="S38:U38"/>
    <mergeCell ref="X38:Z38"/>
    <mergeCell ref="AA38:AC38"/>
    <mergeCell ref="A39:C39"/>
    <mergeCell ref="D39:F39"/>
    <mergeCell ref="G39:I39"/>
    <mergeCell ref="L39:N39"/>
    <mergeCell ref="P39:R39"/>
    <mergeCell ref="S39:U39"/>
    <mergeCell ref="X39:Z39"/>
    <mergeCell ref="AA39:AC39"/>
    <mergeCell ref="A40:C40"/>
    <mergeCell ref="D40:F40"/>
    <mergeCell ref="G40:I40"/>
    <mergeCell ref="L40:N40"/>
    <mergeCell ref="P40:R40"/>
    <mergeCell ref="S40:U40"/>
    <mergeCell ref="X40:Z40"/>
    <mergeCell ref="AA40:AC40"/>
    <mergeCell ref="A41:C41"/>
    <mergeCell ref="D41:F41"/>
    <mergeCell ref="G41:I41"/>
    <mergeCell ref="L41:N41"/>
    <mergeCell ref="P41:R41"/>
    <mergeCell ref="S41:U41"/>
    <mergeCell ref="X41:Z41"/>
    <mergeCell ref="AA41:AC41"/>
    <mergeCell ref="A42:C42"/>
    <mergeCell ref="D42:F42"/>
    <mergeCell ref="G42:I42"/>
    <mergeCell ref="L42:N42"/>
    <mergeCell ref="P42:R42"/>
    <mergeCell ref="S42:U42"/>
    <mergeCell ref="X42:Z42"/>
    <mergeCell ref="AA42:AC42"/>
    <mergeCell ref="A43:C43"/>
    <mergeCell ref="D43:F43"/>
    <mergeCell ref="G43:I43"/>
    <mergeCell ref="L43:N43"/>
    <mergeCell ref="P43:R43"/>
    <mergeCell ref="S43:U43"/>
    <mergeCell ref="X43:Z43"/>
    <mergeCell ref="AA43:AC43"/>
    <mergeCell ref="A44:C44"/>
    <mergeCell ref="D44:F44"/>
    <mergeCell ref="G44:I44"/>
    <mergeCell ref="L44:N44"/>
    <mergeCell ref="P44:R44"/>
    <mergeCell ref="S44:U44"/>
    <mergeCell ref="X44:Z44"/>
    <mergeCell ref="AA44:AC44"/>
    <mergeCell ref="A45:C45"/>
    <mergeCell ref="D45:F45"/>
    <mergeCell ref="G45:I45"/>
    <mergeCell ref="L45:N45"/>
    <mergeCell ref="P45:R45"/>
    <mergeCell ref="S45:U45"/>
    <mergeCell ref="X45:Z45"/>
    <mergeCell ref="AA45:AC45"/>
    <mergeCell ref="A46:C46"/>
    <mergeCell ref="D46:F46"/>
    <mergeCell ref="G46:I46"/>
    <mergeCell ref="L46:N46"/>
    <mergeCell ref="P46:R46"/>
    <mergeCell ref="S46:U46"/>
    <mergeCell ref="X46:Z46"/>
    <mergeCell ref="AA46:AC46"/>
    <mergeCell ref="A51:H51"/>
    <mergeCell ref="J51:R51"/>
    <mergeCell ref="T51:AB51"/>
    <mergeCell ref="A53:H53"/>
    <mergeCell ref="J53:R53"/>
    <mergeCell ref="T53:AB53"/>
    <mergeCell ref="A54:H54"/>
    <mergeCell ref="J54:R54"/>
    <mergeCell ref="T54:AB54"/>
    <mergeCell ref="A55:H55"/>
    <mergeCell ref="J55:R55"/>
    <mergeCell ref="T55:AB55"/>
    <mergeCell ref="A56:H56"/>
    <mergeCell ref="J56:R56"/>
    <mergeCell ref="T56:AB56"/>
    <mergeCell ref="A57:H57"/>
    <mergeCell ref="J57:R57"/>
    <mergeCell ref="T57:AB57"/>
    <mergeCell ref="A58:H58"/>
    <mergeCell ref="J58:R58"/>
    <mergeCell ref="T58:AB58"/>
    <mergeCell ref="A59:H59"/>
    <mergeCell ref="J59:R59"/>
    <mergeCell ref="T59:AB59"/>
    <mergeCell ref="A60:H60"/>
    <mergeCell ref="J60:R60"/>
    <mergeCell ref="T60:AB60"/>
    <mergeCell ref="A61:H61"/>
    <mergeCell ref="J61:R61"/>
    <mergeCell ref="T61:AB61"/>
    <mergeCell ref="A62:H62"/>
    <mergeCell ref="J62:R62"/>
    <mergeCell ref="T62:AB62"/>
    <mergeCell ref="J64:O64"/>
    <mergeCell ref="T64:AA64"/>
    <mergeCell ref="J65:O65"/>
    <mergeCell ref="T65:AA65"/>
    <mergeCell ref="J66:O66"/>
    <mergeCell ref="T66:AA66"/>
    <mergeCell ref="J67:O67"/>
    <mergeCell ref="T67:AA67"/>
    <mergeCell ref="J68:O68"/>
    <mergeCell ref="T68:AA68"/>
    <mergeCell ref="J69:O69"/>
    <mergeCell ref="T69:AA69"/>
    <mergeCell ref="J70:O70"/>
    <mergeCell ref="T70:AA70"/>
    <mergeCell ref="J71:O71"/>
    <mergeCell ref="T71:AA71"/>
    <mergeCell ref="J72:O72"/>
    <mergeCell ref="T72:AA72"/>
    <mergeCell ref="J73:O73"/>
    <mergeCell ref="T73:AA73"/>
    <mergeCell ref="J74:O74"/>
    <mergeCell ref="T74:AA74"/>
    <mergeCell ref="T75:AA75"/>
    <mergeCell ref="T76:AA76"/>
  </mergeCells>
  <printOptions horizontalCentered="1"/>
  <pageMargins left="0.5" right="0.5" top="0.5" bottom="0.75" header="0.5" footer="0.5"/>
  <pageSetup orientation="landscape" horizontalDpi="300" verticalDpi="300" scale="80" fitToWidth="1" fitToHeight="0" firstPageNumber="1" useFirstPageNumber="1" copies="1"/>
  <headerFooter>
    <oddFooter>&amp;R&amp;P of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 zoomScale="100" zoomScaleNormal="100"/>
  </sheetViews>
  <sheetFormatPr defaultRowHeight="12.75" outlineLevelRow="0" outlineLevelCol="0" x14ac:dyDescent="0" customHeight="1"/>
  <cols>
    <col min="1" max="1" width="11.7109375" customWidth="1"/>
    <col min="2" max="2" width="2.42578125" customWidth="1"/>
    <col min="3" max="3" width="3.28515625" customWidth="1"/>
    <col min="4" max="9" width="11.7109375" customWidth="1"/>
  </cols>
  <sheetData>
    <row r="1" ht="21.75" customHeight="1" spans="1:9" x14ac:dyDescent="0.25">
      <c r="A1" s="545"/>
      <c r="B1" s="546"/>
      <c r="C1" s="546"/>
      <c r="D1" s="547"/>
      <c r="E1" s="548" t="s">
        <v>418</v>
      </c>
      <c r="F1" s="548"/>
      <c r="G1" s="548" t="s">
        <v>419</v>
      </c>
      <c r="H1" s="548"/>
      <c r="I1" s="548"/>
    </row>
    <row r="2" ht="21.75" customHeight="1" spans="1:9" x14ac:dyDescent="0.25">
      <c r="A2" s="549"/>
      <c r="B2" s="550"/>
      <c r="C2" s="550"/>
      <c r="D2" s="551"/>
      <c r="E2" s="552" t="s">
        <v>420</v>
      </c>
      <c r="F2" s="553"/>
      <c r="G2" s="554" t="s">
        <v>421</v>
      </c>
      <c r="H2" s="555"/>
      <c r="I2" s="555"/>
    </row>
    <row r="3" ht="14.25" customHeight="1" spans="1:9" x14ac:dyDescent="0.25">
      <c r="A3" s="556"/>
      <c r="B3" s="557"/>
      <c r="C3" s="557"/>
      <c r="D3" s="557"/>
      <c r="E3" s="557"/>
      <c r="F3" s="557"/>
      <c r="G3" s="557"/>
      <c r="H3" s="557"/>
      <c r="I3" s="558"/>
    </row>
    <row r="4" ht="15" customHeight="1" spans="1:9" x14ac:dyDescent="0.25">
      <c r="A4" s="559" t="s">
        <v>422</v>
      </c>
      <c r="B4" s="560"/>
      <c r="C4" s="561"/>
      <c r="D4" s="562" t="s">
        <v>423</v>
      </c>
      <c r="E4" s="562" t="s">
        <v>424</v>
      </c>
      <c r="F4" s="563" t="s">
        <v>425</v>
      </c>
      <c r="G4" s="561"/>
      <c r="H4" s="562" t="s">
        <v>23</v>
      </c>
      <c r="I4" s="564" t="s">
        <v>426</v>
      </c>
    </row>
    <row r="5" spans="1:9" x14ac:dyDescent="0.25">
      <c r="A5" s="565" t="s">
        <v>1</v>
      </c>
      <c r="B5" s="566"/>
      <c r="C5" s="567"/>
      <c r="D5" s="568" t="s">
        <v>1</v>
      </c>
      <c r="E5" s="569" t="s">
        <v>1</v>
      </c>
      <c r="F5" s="570" t="s">
        <v>1</v>
      </c>
      <c r="G5" s="571"/>
      <c r="H5" s="572" t="s">
        <v>1</v>
      </c>
      <c r="I5" s="573" t="s">
        <v>1</v>
      </c>
    </row>
    <row r="6" ht="14.25" customHeight="1" spans="1:9" x14ac:dyDescent="0.25">
      <c r="A6" s="574" t="s">
        <v>427</v>
      </c>
      <c r="B6" s="575"/>
      <c r="C6" s="575"/>
      <c r="D6" s="576"/>
      <c r="E6" s="577" t="s">
        <v>428</v>
      </c>
      <c r="F6" s="578" t="s">
        <v>429</v>
      </c>
      <c r="G6" s="576"/>
      <c r="H6" s="579"/>
      <c r="I6" s="580"/>
    </row>
    <row r="7" spans="1:9" x14ac:dyDescent="0.25">
      <c r="A7" s="581" t="s">
        <v>1</v>
      </c>
      <c r="B7" s="582"/>
      <c r="C7" s="582"/>
      <c r="D7" s="583"/>
      <c r="E7" s="584" t="s">
        <v>1</v>
      </c>
      <c r="F7" s="585"/>
      <c r="G7" s="586"/>
      <c r="H7" s="587" t="s">
        <v>1</v>
      </c>
      <c r="I7" s="588"/>
    </row>
    <row r="8" ht="12" customHeight="1" spans="1:9" x14ac:dyDescent="0.25">
      <c r="A8" s="589"/>
      <c r="B8" s="590"/>
      <c r="C8" s="590"/>
      <c r="D8" s="591"/>
      <c r="E8" s="592" t="s">
        <v>1</v>
      </c>
      <c r="F8" s="593"/>
      <c r="G8" s="594"/>
      <c r="H8" s="595"/>
      <c r="I8" s="596"/>
    </row>
    <row r="9" ht="12" customHeight="1" spans="1:9" x14ac:dyDescent="0.25">
      <c r="A9" s="597"/>
      <c r="B9" s="236"/>
      <c r="C9" s="598"/>
      <c r="D9" s="598"/>
      <c r="E9" s="236"/>
      <c r="F9" s="236"/>
      <c r="G9" s="236"/>
      <c r="H9" s="236"/>
      <c r="I9" s="599"/>
    </row>
    <row r="10" ht="12" customHeight="1" spans="1:9" x14ac:dyDescent="0.25">
      <c r="A10" s="600"/>
      <c r="B10" s="234"/>
      <c r="C10" s="601"/>
      <c r="D10" s="602" t="s">
        <v>430</v>
      </c>
      <c r="E10" s="603" t="s">
        <v>395</v>
      </c>
      <c r="F10" s="603" t="s">
        <v>431</v>
      </c>
      <c r="G10" s="603" t="s">
        <v>432</v>
      </c>
      <c r="H10" s="604" t="s">
        <v>24</v>
      </c>
      <c r="I10" s="605"/>
    </row>
    <row r="11" ht="12" customHeight="1" spans="1:9" x14ac:dyDescent="0.25">
      <c r="A11" s="606" t="s">
        <v>1</v>
      </c>
      <c r="B11" s="607"/>
      <c r="C11" s="608">
        <v>1</v>
      </c>
      <c r="D11" s="609" t="s">
        <v>1</v>
      </c>
      <c r="E11" s="610" t="s">
        <v>1</v>
      </c>
      <c r="F11" s="610" t="s">
        <v>1</v>
      </c>
      <c r="G11" s="610" t="s">
        <v>1</v>
      </c>
      <c r="H11" s="611" t="s">
        <v>1</v>
      </c>
      <c r="I11" s="612"/>
    </row>
    <row r="12" ht="12" customHeight="1" spans="1:9" x14ac:dyDescent="0.25">
      <c r="A12" s="613"/>
      <c r="B12" s="614"/>
      <c r="C12" s="608">
        <v>2</v>
      </c>
      <c r="D12" s="609" t="s">
        <v>1</v>
      </c>
      <c r="E12" s="615" t="s">
        <v>1</v>
      </c>
      <c r="F12" s="615" t="s">
        <v>1</v>
      </c>
      <c r="G12" s="615" t="s">
        <v>1</v>
      </c>
      <c r="H12" s="611" t="s">
        <v>1</v>
      </c>
      <c r="I12" s="612"/>
    </row>
    <row r="13" spans="1:9" x14ac:dyDescent="0.25">
      <c r="A13" s="613"/>
      <c r="B13" s="607"/>
      <c r="C13" s="608">
        <v>3</v>
      </c>
      <c r="D13" s="609" t="s">
        <v>1</v>
      </c>
      <c r="E13" s="615"/>
      <c r="F13" s="615" t="s">
        <v>1</v>
      </c>
      <c r="G13" s="615" t="s">
        <v>1</v>
      </c>
      <c r="H13" s="611" t="s">
        <v>1</v>
      </c>
      <c r="I13" s="612"/>
    </row>
    <row r="14" spans="1:9" x14ac:dyDescent="0.25">
      <c r="A14" s="613"/>
      <c r="B14" s="616"/>
      <c r="C14" s="608">
        <v>4</v>
      </c>
      <c r="D14" s="609" t="s">
        <v>1</v>
      </c>
      <c r="E14" s="615"/>
      <c r="F14" s="615" t="s">
        <v>1</v>
      </c>
      <c r="G14" s="615" t="s">
        <v>1</v>
      </c>
      <c r="H14" s="611" t="s">
        <v>1</v>
      </c>
      <c r="I14" s="612"/>
    </row>
    <row r="15" ht="13.5" customHeight="1" spans="1:9" x14ac:dyDescent="0.25">
      <c r="A15" s="613"/>
      <c r="B15" s="616"/>
      <c r="C15" s="608">
        <v>5</v>
      </c>
      <c r="D15" s="609" t="s">
        <v>1</v>
      </c>
      <c r="E15" s="615" t="s">
        <v>1</v>
      </c>
      <c r="F15" s="615" t="s">
        <v>1</v>
      </c>
      <c r="G15" s="615" t="s">
        <v>1</v>
      </c>
      <c r="H15" s="611" t="s">
        <v>1</v>
      </c>
      <c r="I15" s="612"/>
    </row>
    <row r="16" spans="1:9" x14ac:dyDescent="0.25">
      <c r="A16" s="597"/>
      <c r="B16" s="617"/>
      <c r="C16" s="608">
        <v>6</v>
      </c>
      <c r="D16" s="609" t="s">
        <v>1</v>
      </c>
      <c r="E16" s="618" t="s">
        <v>1</v>
      </c>
      <c r="F16" s="618" t="s">
        <v>1</v>
      </c>
      <c r="G16" s="618" t="s">
        <v>1</v>
      </c>
      <c r="H16" s="611" t="s">
        <v>1</v>
      </c>
      <c r="I16" s="612"/>
    </row>
    <row r="17" spans="1:9" x14ac:dyDescent="0.25">
      <c r="A17" s="619"/>
      <c r="B17" s="598"/>
      <c r="C17" s="620"/>
      <c r="D17" s="621">
        <v>1</v>
      </c>
      <c r="E17" s="621">
        <v>2</v>
      </c>
      <c r="F17" s="621">
        <v>3</v>
      </c>
      <c r="G17" s="621">
        <v>4</v>
      </c>
      <c r="H17" s="621">
        <v>5</v>
      </c>
      <c r="I17" s="622">
        <v>6</v>
      </c>
    </row>
    <row r="18" spans="1:9" x14ac:dyDescent="0.25">
      <c r="A18" s="623"/>
      <c r="B18" s="624"/>
      <c r="C18" s="625">
        <v>1</v>
      </c>
      <c r="D18" s="626"/>
      <c r="E18" s="626" t="s">
        <v>1</v>
      </c>
      <c r="F18" s="626"/>
      <c r="G18" s="626"/>
      <c r="H18" s="626" t="s">
        <v>1</v>
      </c>
      <c r="I18" s="627" t="s">
        <v>1</v>
      </c>
    </row>
    <row r="19" spans="1:9" x14ac:dyDescent="0.25">
      <c r="A19" s="623"/>
      <c r="B19" s="624"/>
      <c r="C19" s="625">
        <v>2</v>
      </c>
      <c r="D19" s="626"/>
      <c r="E19" s="626" t="s">
        <v>1</v>
      </c>
      <c r="F19" s="626"/>
      <c r="G19" s="626"/>
      <c r="H19" s="626" t="s">
        <v>1</v>
      </c>
      <c r="I19" s="627" t="s">
        <v>1</v>
      </c>
    </row>
    <row r="20" spans="1:9" x14ac:dyDescent="0.25">
      <c r="A20" s="623"/>
      <c r="B20" s="624"/>
      <c r="C20" s="625">
        <v>3</v>
      </c>
      <c r="D20" s="626"/>
      <c r="E20" s="626" t="s">
        <v>1</v>
      </c>
      <c r="F20" s="626"/>
      <c r="G20" s="626"/>
      <c r="H20" s="626" t="s">
        <v>1</v>
      </c>
      <c r="I20" s="627" t="s">
        <v>1</v>
      </c>
    </row>
    <row r="21" spans="1:9" x14ac:dyDescent="0.25">
      <c r="A21" s="623"/>
      <c r="B21" s="624"/>
      <c r="C21" s="625">
        <v>4</v>
      </c>
      <c r="D21" s="626"/>
      <c r="E21" s="626" t="s">
        <v>1</v>
      </c>
      <c r="F21" s="626"/>
      <c r="G21" s="626"/>
      <c r="H21" s="626" t="s">
        <v>1</v>
      </c>
      <c r="I21" s="627" t="s">
        <v>1</v>
      </c>
    </row>
    <row r="22" spans="1:9" x14ac:dyDescent="0.25">
      <c r="A22" s="623"/>
      <c r="B22" s="624"/>
      <c r="C22" s="625">
        <v>5</v>
      </c>
      <c r="D22" s="626"/>
      <c r="E22" s="626" t="s">
        <v>1</v>
      </c>
      <c r="F22" s="626"/>
      <c r="G22" s="626"/>
      <c r="H22" s="626" t="s">
        <v>1</v>
      </c>
      <c r="I22" s="627" t="s">
        <v>1</v>
      </c>
    </row>
    <row r="23" spans="1:9" x14ac:dyDescent="0.25">
      <c r="A23" s="623"/>
      <c r="B23" s="624"/>
      <c r="C23" s="625">
        <v>6</v>
      </c>
      <c r="D23" s="626"/>
      <c r="E23" s="626" t="s">
        <v>1</v>
      </c>
      <c r="F23" s="626"/>
      <c r="G23" s="626"/>
      <c r="H23" s="626" t="s">
        <v>1</v>
      </c>
      <c r="I23" s="627" t="s">
        <v>1</v>
      </c>
    </row>
    <row r="24" spans="1:9" x14ac:dyDescent="0.25">
      <c r="A24" s="623"/>
      <c r="B24" s="624"/>
      <c r="C24" s="625">
        <v>7</v>
      </c>
      <c r="D24" s="626"/>
      <c r="E24" s="626" t="s">
        <v>1</v>
      </c>
      <c r="F24" s="626"/>
      <c r="G24" s="626"/>
      <c r="H24" s="626" t="s">
        <v>1</v>
      </c>
      <c r="I24" s="627" t="s">
        <v>1</v>
      </c>
    </row>
    <row r="25" spans="1:9" x14ac:dyDescent="0.25">
      <c r="A25" s="623"/>
      <c r="B25" s="624"/>
      <c r="C25" s="625">
        <v>8</v>
      </c>
      <c r="D25" s="626"/>
      <c r="E25" s="626" t="s">
        <v>1</v>
      </c>
      <c r="F25" s="626"/>
      <c r="G25" s="626"/>
      <c r="H25" s="626" t="s">
        <v>1</v>
      </c>
      <c r="I25" s="627" t="s">
        <v>1</v>
      </c>
    </row>
    <row r="26" spans="1:9" x14ac:dyDescent="0.25">
      <c r="A26" s="623"/>
      <c r="B26" s="624"/>
      <c r="C26" s="625">
        <v>9</v>
      </c>
      <c r="D26" s="626"/>
      <c r="E26" s="626" t="s">
        <v>1</v>
      </c>
      <c r="F26" s="626"/>
      <c r="G26" s="626"/>
      <c r="H26" s="626" t="s">
        <v>1</v>
      </c>
      <c r="I26" s="627" t="s">
        <v>1</v>
      </c>
    </row>
    <row r="27" spans="1:9" x14ac:dyDescent="0.25">
      <c r="A27" s="623"/>
      <c r="B27" s="624"/>
      <c r="C27" s="625">
        <v>10</v>
      </c>
      <c r="D27" s="626"/>
      <c r="E27" s="626" t="s">
        <v>1</v>
      </c>
      <c r="F27" s="626"/>
      <c r="G27" s="626"/>
      <c r="H27" s="626" t="s">
        <v>1</v>
      </c>
      <c r="I27" s="627" t="s">
        <v>1</v>
      </c>
    </row>
    <row r="28" spans="1:9" x14ac:dyDescent="0.25">
      <c r="A28" s="623"/>
      <c r="B28" s="624"/>
      <c r="C28" s="625">
        <v>11</v>
      </c>
      <c r="D28" s="626"/>
      <c r="E28" s="626" t="s">
        <v>1</v>
      </c>
      <c r="F28" s="626"/>
      <c r="G28" s="626"/>
      <c r="H28" s="626" t="s">
        <v>1</v>
      </c>
      <c r="I28" s="627" t="s">
        <v>1</v>
      </c>
    </row>
    <row r="29" spans="1:9" x14ac:dyDescent="0.25">
      <c r="A29" s="623"/>
      <c r="B29" s="624"/>
      <c r="C29" s="625">
        <v>12</v>
      </c>
      <c r="D29" s="626"/>
      <c r="E29" s="626" t="s">
        <v>1</v>
      </c>
      <c r="F29" s="626"/>
      <c r="G29" s="626"/>
      <c r="H29" s="626" t="s">
        <v>1</v>
      </c>
      <c r="I29" s="627" t="s">
        <v>1</v>
      </c>
    </row>
    <row r="30" spans="1:9" x14ac:dyDescent="0.25">
      <c r="A30" s="623"/>
      <c r="B30" s="624"/>
      <c r="C30" s="625">
        <v>13</v>
      </c>
      <c r="D30" s="626"/>
      <c r="E30" s="626" t="s">
        <v>1</v>
      </c>
      <c r="F30" s="626"/>
      <c r="G30" s="626"/>
      <c r="H30" s="626" t="s">
        <v>1</v>
      </c>
      <c r="I30" s="627" t="s">
        <v>1</v>
      </c>
    </row>
    <row r="31" spans="1:9" x14ac:dyDescent="0.25">
      <c r="A31" s="623"/>
      <c r="B31" s="624"/>
      <c r="C31" s="625">
        <v>14</v>
      </c>
      <c r="D31" s="626"/>
      <c r="E31" s="626" t="s">
        <v>1</v>
      </c>
      <c r="F31" s="626"/>
      <c r="G31" s="626"/>
      <c r="H31" s="626" t="s">
        <v>1</v>
      </c>
      <c r="I31" s="627" t="s">
        <v>1</v>
      </c>
    </row>
    <row r="32" spans="1:9" x14ac:dyDescent="0.25">
      <c r="A32" s="623"/>
      <c r="B32" s="624"/>
      <c r="C32" s="625">
        <v>15</v>
      </c>
      <c r="D32" s="626"/>
      <c r="E32" s="626" t="s">
        <v>1</v>
      </c>
      <c r="F32" s="626"/>
      <c r="G32" s="626"/>
      <c r="H32" s="626" t="s">
        <v>1</v>
      </c>
      <c r="I32" s="627" t="s">
        <v>1</v>
      </c>
    </row>
    <row r="33" spans="1:9" x14ac:dyDescent="0.25">
      <c r="A33" s="623"/>
      <c r="B33" s="624"/>
      <c r="C33" s="625">
        <v>16</v>
      </c>
      <c r="D33" s="626"/>
      <c r="E33" s="626" t="s">
        <v>1</v>
      </c>
      <c r="F33" s="626"/>
      <c r="G33" s="626"/>
      <c r="H33" s="626" t="s">
        <v>1</v>
      </c>
      <c r="I33" s="627" t="s">
        <v>1</v>
      </c>
    </row>
    <row r="34" spans="1:9" x14ac:dyDescent="0.25">
      <c r="A34" s="623"/>
      <c r="B34" s="624"/>
      <c r="C34" s="625">
        <v>17</v>
      </c>
      <c r="D34" s="626"/>
      <c r="E34" s="626" t="s">
        <v>1</v>
      </c>
      <c r="F34" s="626"/>
      <c r="G34" s="626"/>
      <c r="H34" s="626" t="s">
        <v>1</v>
      </c>
      <c r="I34" s="627" t="s">
        <v>1</v>
      </c>
    </row>
    <row r="35" spans="1:9" x14ac:dyDescent="0.25">
      <c r="A35" s="623"/>
      <c r="B35" s="624"/>
      <c r="C35" s="625">
        <v>18</v>
      </c>
      <c r="D35" s="626" t="s">
        <v>1</v>
      </c>
      <c r="E35" s="626" t="s">
        <v>1</v>
      </c>
      <c r="F35" s="626"/>
      <c r="G35" s="626"/>
      <c r="H35" s="626" t="s">
        <v>1</v>
      </c>
      <c r="I35" s="627" t="s">
        <v>1</v>
      </c>
    </row>
    <row r="36" spans="1:9" x14ac:dyDescent="0.25">
      <c r="A36" s="623"/>
      <c r="B36" s="624"/>
      <c r="C36" s="625">
        <v>19</v>
      </c>
      <c r="D36" s="626"/>
      <c r="E36" s="626" t="s">
        <v>1</v>
      </c>
      <c r="F36" s="626"/>
      <c r="G36" s="626"/>
      <c r="H36" s="626" t="s">
        <v>1</v>
      </c>
      <c r="I36" s="627" t="s">
        <v>1</v>
      </c>
    </row>
    <row r="37" spans="1:9" x14ac:dyDescent="0.25">
      <c r="A37" s="623"/>
      <c r="B37" s="624"/>
      <c r="C37" s="625">
        <v>20</v>
      </c>
      <c r="D37" s="626" t="s">
        <v>1</v>
      </c>
      <c r="E37" s="626" t="s">
        <v>1</v>
      </c>
      <c r="F37" s="626"/>
      <c r="G37" s="626"/>
      <c r="H37" s="626" t="s">
        <v>1</v>
      </c>
      <c r="I37" s="627" t="s">
        <v>1</v>
      </c>
    </row>
    <row r="38" spans="1:9" x14ac:dyDescent="0.25">
      <c r="A38" s="623"/>
      <c r="B38" s="624"/>
      <c r="C38" s="625">
        <v>21</v>
      </c>
      <c r="D38" s="626" t="s">
        <v>1</v>
      </c>
      <c r="E38" s="626" t="s">
        <v>1</v>
      </c>
      <c r="F38" s="626"/>
      <c r="G38" s="626"/>
      <c r="H38" s="626" t="s">
        <v>1</v>
      </c>
      <c r="I38" s="627" t="s">
        <v>1</v>
      </c>
    </row>
    <row r="39" spans="1:9" x14ac:dyDescent="0.25">
      <c r="A39" s="623"/>
      <c r="B39" s="624"/>
      <c r="C39" s="625">
        <v>22</v>
      </c>
      <c r="D39" s="626"/>
      <c r="E39" s="626" t="s">
        <v>1</v>
      </c>
      <c r="F39" s="626"/>
      <c r="G39" s="626"/>
      <c r="H39" s="626" t="s">
        <v>1</v>
      </c>
      <c r="I39" s="627" t="s">
        <v>1</v>
      </c>
    </row>
    <row r="40" spans="1:9" x14ac:dyDescent="0.25">
      <c r="A40" s="623"/>
      <c r="B40" s="624"/>
      <c r="C40" s="625">
        <v>23</v>
      </c>
      <c r="D40" s="626" t="s">
        <v>1</v>
      </c>
      <c r="E40" s="626" t="s">
        <v>1</v>
      </c>
      <c r="F40" s="626"/>
      <c r="G40" s="626"/>
      <c r="H40" s="626" t="s">
        <v>1</v>
      </c>
      <c r="I40" s="627" t="s">
        <v>1</v>
      </c>
    </row>
    <row r="41" spans="1:9" x14ac:dyDescent="0.25">
      <c r="A41" s="623"/>
      <c r="B41" s="624"/>
      <c r="C41" s="625">
        <v>24</v>
      </c>
      <c r="D41" s="626"/>
      <c r="E41" s="626" t="s">
        <v>1</v>
      </c>
      <c r="F41" s="626"/>
      <c r="G41" s="626"/>
      <c r="H41" s="626" t="s">
        <v>1</v>
      </c>
      <c r="I41" s="627" t="s">
        <v>1</v>
      </c>
    </row>
    <row r="42" spans="1:9" x14ac:dyDescent="0.25">
      <c r="A42" s="623"/>
      <c r="B42" s="624"/>
      <c r="C42" s="625">
        <v>25</v>
      </c>
      <c r="D42" s="626" t="s">
        <v>1</v>
      </c>
      <c r="E42" s="626" t="s">
        <v>1</v>
      </c>
      <c r="F42" s="626"/>
      <c r="G42" s="626"/>
      <c r="H42" s="626" t="s">
        <v>1</v>
      </c>
      <c r="I42" s="627" t="s">
        <v>1</v>
      </c>
    </row>
    <row r="43" spans="1:9" x14ac:dyDescent="0.25">
      <c r="A43" s="623"/>
      <c r="B43" s="624"/>
      <c r="C43" s="625">
        <v>26</v>
      </c>
      <c r="D43" s="626" t="s">
        <v>1</v>
      </c>
      <c r="E43" s="626" t="s">
        <v>1</v>
      </c>
      <c r="F43" s="626"/>
      <c r="G43" s="626"/>
      <c r="H43" s="626" t="s">
        <v>1</v>
      </c>
      <c r="I43" s="627" t="s">
        <v>1</v>
      </c>
    </row>
    <row r="44" spans="1:9" x14ac:dyDescent="0.25">
      <c r="A44" s="623"/>
      <c r="B44" s="624"/>
      <c r="C44" s="625">
        <v>27</v>
      </c>
      <c r="D44" s="626" t="s">
        <v>1</v>
      </c>
      <c r="E44" s="626" t="s">
        <v>1</v>
      </c>
      <c r="F44" s="626"/>
      <c r="G44" s="626"/>
      <c r="H44" s="626" t="s">
        <v>1</v>
      </c>
      <c r="I44" s="627" t="s">
        <v>1</v>
      </c>
    </row>
    <row r="45" spans="1:9" x14ac:dyDescent="0.25">
      <c r="A45" s="623"/>
      <c r="B45" s="624"/>
      <c r="C45" s="625">
        <v>28</v>
      </c>
      <c r="D45" s="626" t="s">
        <v>1</v>
      </c>
      <c r="E45" s="626" t="s">
        <v>1</v>
      </c>
      <c r="F45" s="626"/>
      <c r="G45" s="626"/>
      <c r="H45" s="626" t="s">
        <v>1</v>
      </c>
      <c r="I45" s="627" t="s">
        <v>1</v>
      </c>
    </row>
    <row r="46" spans="1:9" x14ac:dyDescent="0.25">
      <c r="A46" s="623"/>
      <c r="B46" s="624"/>
      <c r="C46" s="625">
        <v>29</v>
      </c>
      <c r="D46" s="626" t="s">
        <v>1</v>
      </c>
      <c r="E46" s="626" t="s">
        <v>1</v>
      </c>
      <c r="F46" s="626"/>
      <c r="G46" s="626"/>
      <c r="H46" s="626" t="s">
        <v>1</v>
      </c>
      <c r="I46" s="627" t="s">
        <v>1</v>
      </c>
    </row>
    <row r="47" ht="13.5" customHeight="1" spans="1:9" x14ac:dyDescent="0.25">
      <c r="A47" s="623"/>
      <c r="B47" s="624"/>
      <c r="C47" s="625">
        <v>30</v>
      </c>
      <c r="D47" s="626" t="s">
        <v>1</v>
      </c>
      <c r="E47" s="626" t="s">
        <v>1</v>
      </c>
      <c r="F47" s="626"/>
      <c r="G47" s="626"/>
      <c r="H47" s="626" t="s">
        <v>1</v>
      </c>
      <c r="I47" s="627" t="s">
        <v>1</v>
      </c>
    </row>
    <row r="48" ht="13.5" customHeight="1" spans="1:9" x14ac:dyDescent="0.25">
      <c r="A48" s="628"/>
      <c r="B48" s="629"/>
      <c r="C48" s="630" t="s">
        <v>433</v>
      </c>
      <c r="D48" s="631">
        <f t="shared" ref="D48:I48" si="0">IF(D51="","",AVERAGE(D18:D47))</f>
      </c>
      <c r="E48" s="632">
        <f t="shared" si="0"/>
      </c>
      <c r="F48" s="633">
        <f t="shared" si="0"/>
      </c>
      <c r="G48" s="633">
        <f t="shared" si="0"/>
      </c>
      <c r="H48" s="633">
        <f t="shared" si="0"/>
      </c>
      <c r="I48" s="634">
        <f t="shared" si="0"/>
      </c>
    </row>
    <row r="49" ht="13.5" customHeight="1" spans="1:9" x14ac:dyDescent="0.25">
      <c r="A49" s="613"/>
      <c r="B49" s="236"/>
      <c r="C49" s="635" t="s">
        <v>434</v>
      </c>
      <c r="D49" s="636">
        <f t="shared" ref="D49:I49" si="1">IF(D51="","",STDEV(D18:D47))</f>
      </c>
      <c r="E49" s="637">
        <f t="shared" si="1"/>
      </c>
      <c r="F49" s="638">
        <f t="shared" si="1"/>
      </c>
      <c r="G49" s="638">
        <f t="shared" si="1"/>
      </c>
      <c r="H49" s="638">
        <f t="shared" si="1"/>
      </c>
      <c r="I49" s="639">
        <f t="shared" si="1"/>
      </c>
    </row>
    <row r="50" ht="13.5" customHeight="1" spans="1:9" x14ac:dyDescent="0.25">
      <c r="A50" s="613"/>
      <c r="B50" s="236"/>
      <c r="C50" s="635" t="s">
        <v>435</v>
      </c>
      <c r="D50" s="640"/>
      <c r="E50" s="641"/>
      <c r="F50" s="641"/>
      <c r="G50" s="641"/>
      <c r="H50" s="641"/>
      <c r="I50" s="642"/>
    </row>
    <row r="51" ht="13.5" customHeight="1" spans="1:9" x14ac:dyDescent="0.25">
      <c r="A51" s="613"/>
      <c r="B51" s="236"/>
      <c r="C51" s="635" t="s">
        <v>436</v>
      </c>
      <c r="D51" s="643"/>
      <c r="E51" s="644"/>
      <c r="F51" s="644"/>
      <c r="G51" s="644"/>
      <c r="H51" s="644"/>
      <c r="I51" s="645"/>
    </row>
    <row r="52" ht="13.5" customHeight="1" spans="1:9" x14ac:dyDescent="0.25">
      <c r="A52" s="613"/>
      <c r="B52" s="236"/>
      <c r="C52" s="635" t="s">
        <v>437</v>
      </c>
      <c r="D52" s="646">
        <f t="shared" ref="D52:I52" si="2">IF(D50="","",IF(D50=0,(D51/(3*D49)),(IF(D51="","",(D51-D50)/(6*D49)))))</f>
      </c>
      <c r="E52" s="647">
        <f t="shared" si="2"/>
      </c>
      <c r="F52" s="647">
        <f t="shared" si="2"/>
      </c>
      <c r="G52" s="647">
        <f t="shared" si="2"/>
      </c>
      <c r="H52" s="647">
        <f t="shared" si="2"/>
      </c>
      <c r="I52" s="648">
        <f t="shared" si="2"/>
      </c>
    </row>
    <row r="53" ht="13.5" customHeight="1" spans="1:9" x14ac:dyDescent="0.25">
      <c r="A53" s="649"/>
      <c r="B53" s="650"/>
      <c r="C53" s="651" t="s">
        <v>438</v>
      </c>
      <c r="D53" s="652">
        <f t="shared" ref="D53:I53" si="3">IF(D50="","",IF(D50=0,(D51-D48)/(3*D49),(IF(D51="","",IF((D51-D48)/(3*D49)&gt;(D48-D50)/(3*D49),(D48-D50)/(3*D49),(D51-D48)/(3*D49))))))</f>
      </c>
      <c r="E53" s="653">
        <f t="shared" si="3"/>
      </c>
      <c r="F53" s="653">
        <f t="shared" si="3"/>
      </c>
      <c r="G53" s="653">
        <f t="shared" si="3"/>
      </c>
      <c r="H53" s="653">
        <f t="shared" si="3"/>
      </c>
      <c r="I53" s="654">
        <f t="shared" si="3"/>
      </c>
    </row>
    <row r="54" ht="13.5" customHeight="1" x14ac:dyDescent="0.25"/>
  </sheetData>
  <mergeCells count="11">
    <mergeCell ref="A5:C5"/>
    <mergeCell ref="F5:G5"/>
    <mergeCell ref="A7:D7"/>
    <mergeCell ref="F7:G7"/>
    <mergeCell ref="H7:I7"/>
    <mergeCell ref="H11:I11"/>
    <mergeCell ref="H12:I12"/>
    <mergeCell ref="H13:I13"/>
    <mergeCell ref="H14:I14"/>
    <mergeCell ref="H15:I15"/>
    <mergeCell ref="H16:I16"/>
  </mergeCells>
  <printOptions horizontalCentered="1"/>
  <pageMargins left="0.75" right="0.75" top="0.5" bottom="0.35" header="0" footer="0.35"/>
  <pageSetup orientation="portrait" horizontalDpi="300" verticalDpi="300" scale="100" fitToWidth="1" fitToHeight="1" firstPageNumber="1" useFirstPageNumber="1" copies="1"/>
  <headerFooter>
    <oddFooter>&amp;R&amp;8
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workbookViewId="0" zoomScale="100" zoomScaleNormal="100"/>
  </sheetViews>
  <sheetFormatPr defaultRowHeight="12.75" outlineLevelRow="0" outlineLevelCol="0" x14ac:dyDescent="0" customHeight="1"/>
  <cols>
    <col min="1" max="17" width="4" customWidth="1"/>
    <col min="18" max="18" width="5.42578125" customWidth="1"/>
    <col min="19" max="19" width="4" customWidth="1"/>
    <col min="20" max="20" width="5.5703125" customWidth="1"/>
    <col min="21" max="26" width="4" customWidth="1"/>
    <col min="27" max="27" width="4.42578125" customWidth="1"/>
    <col min="28" max="31" width="4" customWidth="1"/>
  </cols>
  <sheetData>
    <row r="1" ht="15" customHeight="1" spans="1:31" x14ac:dyDescent="0.25">
      <c r="A1" s="197" t="s">
        <v>179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</row>
    <row r="2" spans="1:34" x14ac:dyDescent="0.25">
      <c r="A2" s="198" t="s">
        <v>180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200"/>
      <c r="M2" s="201" t="s">
        <v>181</v>
      </c>
      <c r="N2" s="202"/>
      <c r="O2" s="202"/>
      <c r="P2" s="202"/>
      <c r="Q2" s="202"/>
      <c r="R2" s="202"/>
      <c r="S2" s="202"/>
      <c r="T2" s="202"/>
      <c r="U2" s="203"/>
      <c r="V2" s="201" t="s">
        <v>182</v>
      </c>
      <c r="W2" s="202"/>
      <c r="X2" s="202"/>
      <c r="Y2" s="202"/>
      <c r="Z2" s="203"/>
      <c r="AA2" s="201" t="s">
        <v>183</v>
      </c>
      <c r="AB2" s="202"/>
      <c r="AC2" s="202"/>
      <c r="AD2" s="202"/>
      <c r="AE2" s="203"/>
      <c r="AF2" s="101"/>
      <c r="AG2" s="101"/>
      <c r="AH2" s="101"/>
    </row>
    <row r="3" ht="13.5" customHeight="1" spans="1:34" x14ac:dyDescent="0.25">
      <c r="A3" s="204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6"/>
      <c r="M3" s="207"/>
      <c r="N3" s="208"/>
      <c r="O3" s="208"/>
      <c r="P3" s="208"/>
      <c r="Q3" s="208"/>
      <c r="R3" s="208"/>
      <c r="S3" s="208"/>
      <c r="T3" s="208"/>
      <c r="U3" s="209"/>
      <c r="V3" s="207"/>
      <c r="W3" s="208"/>
      <c r="X3" s="208"/>
      <c r="Y3" s="208"/>
      <c r="Z3" s="209"/>
      <c r="AA3" s="207"/>
      <c r="AB3" s="208"/>
      <c r="AC3" s="208"/>
      <c r="AD3" s="208"/>
      <c r="AE3" s="209"/>
      <c r="AF3" s="102"/>
      <c r="AG3" s="102"/>
      <c r="AH3" s="102"/>
    </row>
    <row r="4" spans="1:34" x14ac:dyDescent="0.25">
      <c r="A4" s="210" t="s">
        <v>184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2"/>
      <c r="M4" s="201" t="s">
        <v>185</v>
      </c>
      <c r="N4" s="202"/>
      <c r="O4" s="202"/>
      <c r="P4" s="202"/>
      <c r="Q4" s="202"/>
      <c r="R4" s="202"/>
      <c r="S4" s="202"/>
      <c r="T4" s="202"/>
      <c r="U4" s="203"/>
      <c r="V4" s="201" t="s">
        <v>186</v>
      </c>
      <c r="W4" s="202"/>
      <c r="X4" s="202"/>
      <c r="Y4" s="202"/>
      <c r="Z4" s="202"/>
      <c r="AA4" s="202"/>
      <c r="AB4" s="202"/>
      <c r="AC4" s="202"/>
      <c r="AD4" s="202"/>
      <c r="AE4" s="203"/>
      <c r="AF4" s="102"/>
      <c r="AG4" s="102"/>
      <c r="AH4" s="102"/>
    </row>
    <row r="5" ht="13.5" customHeight="1" spans="1:34" x14ac:dyDescent="0.25">
      <c r="A5" s="213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5"/>
      <c r="M5" s="207"/>
      <c r="N5" s="208"/>
      <c r="O5" s="208"/>
      <c r="P5" s="208"/>
      <c r="Q5" s="208"/>
      <c r="R5" s="208"/>
      <c r="S5" s="208"/>
      <c r="T5" s="208"/>
      <c r="U5" s="209"/>
      <c r="V5" s="207"/>
      <c r="W5" s="208"/>
      <c r="X5" s="208"/>
      <c r="Y5" s="208"/>
      <c r="Z5" s="208"/>
      <c r="AA5" s="208"/>
      <c r="AB5" s="208"/>
      <c r="AC5" s="208"/>
      <c r="AD5" s="208"/>
      <c r="AE5" s="209"/>
      <c r="AF5" s="105"/>
      <c r="AG5" s="105"/>
      <c r="AH5" s="105"/>
    </row>
    <row r="6" ht="15.75" customHeight="1" spans="1:31" x14ac:dyDescent="0.25">
      <c r="A6" s="216" t="s">
        <v>187</v>
      </c>
      <c r="B6" s="217"/>
      <c r="C6" s="217" t="s">
        <v>188</v>
      </c>
      <c r="D6" s="217"/>
      <c r="E6" s="217"/>
      <c r="F6" s="217"/>
      <c r="G6" s="217" t="s">
        <v>189</v>
      </c>
      <c r="H6" s="217"/>
      <c r="I6" s="217"/>
      <c r="J6" s="217" t="s">
        <v>190</v>
      </c>
      <c r="K6" s="217"/>
      <c r="L6" s="217"/>
      <c r="M6" s="217"/>
      <c r="N6" s="217"/>
      <c r="O6" s="217" t="s">
        <v>191</v>
      </c>
      <c r="P6" s="217"/>
      <c r="Q6" s="217" t="s">
        <v>192</v>
      </c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 t="s">
        <v>193</v>
      </c>
      <c r="AC6" s="217"/>
      <c r="AD6" s="217"/>
      <c r="AE6" s="218"/>
    </row>
    <row r="7" ht="14.25" customHeight="1" spans="1:31" x14ac:dyDescent="0.25">
      <c r="A7" s="219"/>
      <c r="B7" s="220"/>
      <c r="C7" s="220"/>
      <c r="D7" s="220"/>
      <c r="E7" s="220"/>
      <c r="F7" s="220"/>
      <c r="G7" s="220"/>
      <c r="H7" s="220"/>
      <c r="I7" s="220"/>
      <c r="J7" s="220" t="s">
        <v>194</v>
      </c>
      <c r="K7" s="220" t="s">
        <v>195</v>
      </c>
      <c r="L7" s="220"/>
      <c r="M7" s="220" t="s">
        <v>196</v>
      </c>
      <c r="N7" s="220"/>
      <c r="O7" s="220"/>
      <c r="P7" s="220"/>
      <c r="Q7" s="221" t="s">
        <v>197</v>
      </c>
      <c r="R7" s="221"/>
      <c r="S7" s="221" t="s">
        <v>198</v>
      </c>
      <c r="T7" s="221"/>
      <c r="U7" s="222" t="s">
        <v>199</v>
      </c>
      <c r="V7" s="222"/>
      <c r="W7" s="222"/>
      <c r="X7" s="222"/>
      <c r="Y7" s="220" t="s">
        <v>200</v>
      </c>
      <c r="Z7" s="220"/>
      <c r="AA7" s="220"/>
      <c r="AB7" s="220"/>
      <c r="AC7" s="220"/>
      <c r="AD7" s="220"/>
      <c r="AE7" s="223"/>
    </row>
    <row r="8" ht="17.25" customHeight="1" spans="1:31" x14ac:dyDescent="0.25">
      <c r="A8" s="219"/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1"/>
      <c r="R8" s="221"/>
      <c r="S8" s="221"/>
      <c r="T8" s="221"/>
      <c r="U8" s="220" t="s">
        <v>201</v>
      </c>
      <c r="V8" s="220"/>
      <c r="W8" s="220" t="s">
        <v>202</v>
      </c>
      <c r="X8" s="220"/>
      <c r="Y8" s="220"/>
      <c r="Z8" s="220"/>
      <c r="AA8" s="220"/>
      <c r="AB8" s="220"/>
      <c r="AC8" s="220"/>
      <c r="AD8" s="220"/>
      <c r="AE8" s="223"/>
    </row>
    <row r="9" ht="13.5" customHeight="1" spans="1:31" x14ac:dyDescent="0.25">
      <c r="A9" s="224"/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6"/>
      <c r="R9" s="226"/>
      <c r="S9" s="226"/>
      <c r="T9" s="226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7"/>
    </row>
    <row r="10" spans="1:31" x14ac:dyDescent="0.25">
      <c r="A10" s="228"/>
      <c r="B10" s="228"/>
      <c r="C10" s="228"/>
      <c r="D10" s="228"/>
      <c r="E10" s="228"/>
      <c r="F10" s="228"/>
      <c r="G10" s="228"/>
      <c r="H10" s="228"/>
      <c r="I10" s="228"/>
      <c r="J10" s="229"/>
      <c r="K10" s="228"/>
      <c r="L10" s="228"/>
      <c r="M10" s="228"/>
      <c r="N10" s="228"/>
      <c r="O10" s="229"/>
      <c r="P10" s="229"/>
      <c r="Q10" s="228"/>
      <c r="R10" s="228"/>
      <c r="S10" s="228"/>
      <c r="T10" s="228"/>
      <c r="U10" s="229"/>
      <c r="V10" s="229"/>
      <c r="W10" s="229"/>
      <c r="X10" s="229"/>
      <c r="Y10" s="228"/>
      <c r="Z10" s="228"/>
      <c r="AA10" s="228"/>
      <c r="AB10" s="228"/>
      <c r="AC10" s="228"/>
      <c r="AD10" s="228"/>
      <c r="AE10" s="228"/>
    </row>
    <row r="11" spans="1:31" x14ac:dyDescent="0.25">
      <c r="A11" s="230"/>
      <c r="B11" s="230"/>
      <c r="C11" s="230"/>
      <c r="D11" s="230"/>
      <c r="E11" s="230"/>
      <c r="F11" s="230"/>
      <c r="G11" s="230"/>
      <c r="H11" s="230"/>
      <c r="I11" s="230"/>
      <c r="J11" s="231"/>
      <c r="K11" s="230"/>
      <c r="L11" s="230"/>
      <c r="M11" s="230"/>
      <c r="N11" s="230"/>
      <c r="O11" s="231"/>
      <c r="P11" s="231"/>
      <c r="Q11" s="230"/>
      <c r="R11" s="230"/>
      <c r="S11" s="230"/>
      <c r="T11" s="230"/>
      <c r="U11" s="231"/>
      <c r="V11" s="231"/>
      <c r="W11" s="231"/>
      <c r="X11" s="231"/>
      <c r="Y11" s="230"/>
      <c r="Z11" s="230"/>
      <c r="AA11" s="230"/>
      <c r="AB11" s="230"/>
      <c r="AC11" s="230"/>
      <c r="AD11" s="230"/>
      <c r="AE11" s="230"/>
    </row>
    <row r="12" spans="1:31" x14ac:dyDescent="0.25">
      <c r="A12" s="230"/>
      <c r="B12" s="230"/>
      <c r="C12" s="230"/>
      <c r="D12" s="230"/>
      <c r="E12" s="230"/>
      <c r="F12" s="230"/>
      <c r="G12" s="230"/>
      <c r="H12" s="230"/>
      <c r="I12" s="230"/>
      <c r="J12" s="231"/>
      <c r="K12" s="230"/>
      <c r="L12" s="230"/>
      <c r="M12" s="230"/>
      <c r="N12" s="230"/>
      <c r="O12" s="231"/>
      <c r="P12" s="231"/>
      <c r="Q12" s="230"/>
      <c r="R12" s="230"/>
      <c r="S12" s="230"/>
      <c r="T12" s="230"/>
      <c r="U12" s="231"/>
      <c r="V12" s="231"/>
      <c r="W12" s="231"/>
      <c r="X12" s="231"/>
      <c r="Y12" s="230"/>
      <c r="Z12" s="230"/>
      <c r="AA12" s="230"/>
      <c r="AB12" s="230"/>
      <c r="AC12" s="230"/>
      <c r="AD12" s="230"/>
      <c r="AE12" s="230"/>
    </row>
    <row r="13" spans="1:31" x14ac:dyDescent="0.25">
      <c r="A13" s="230"/>
      <c r="B13" s="230"/>
      <c r="C13" s="230"/>
      <c r="D13" s="230"/>
      <c r="E13" s="230"/>
      <c r="F13" s="230"/>
      <c r="G13" s="230"/>
      <c r="H13" s="230"/>
      <c r="I13" s="230"/>
      <c r="J13" s="231"/>
      <c r="K13" s="230"/>
      <c r="L13" s="230"/>
      <c r="M13" s="230"/>
      <c r="N13" s="230"/>
      <c r="O13" s="231"/>
      <c r="P13" s="231"/>
      <c r="Q13" s="230"/>
      <c r="R13" s="230"/>
      <c r="S13" s="230"/>
      <c r="T13" s="230"/>
      <c r="U13" s="231"/>
      <c r="V13" s="231"/>
      <c r="W13" s="231"/>
      <c r="X13" s="231"/>
      <c r="Y13" s="230"/>
      <c r="Z13" s="230"/>
      <c r="AA13" s="230"/>
      <c r="AB13" s="230"/>
      <c r="AC13" s="230"/>
      <c r="AD13" s="230"/>
      <c r="AE13" s="230"/>
    </row>
    <row r="14" spans="1:31" x14ac:dyDescent="0.25">
      <c r="A14" s="230"/>
      <c r="B14" s="230"/>
      <c r="C14" s="230"/>
      <c r="D14" s="230"/>
      <c r="E14" s="230"/>
      <c r="F14" s="230"/>
      <c r="G14" s="230"/>
      <c r="H14" s="230"/>
      <c r="I14" s="230"/>
      <c r="J14" s="231"/>
      <c r="K14" s="230"/>
      <c r="L14" s="230"/>
      <c r="M14" s="230"/>
      <c r="N14" s="230"/>
      <c r="O14" s="231"/>
      <c r="P14" s="231"/>
      <c r="Q14" s="230"/>
      <c r="R14" s="230"/>
      <c r="S14" s="230"/>
      <c r="T14" s="230"/>
      <c r="U14" s="231"/>
      <c r="V14" s="231"/>
      <c r="W14" s="231"/>
      <c r="X14" s="231"/>
      <c r="Y14" s="230"/>
      <c r="Z14" s="230"/>
      <c r="AA14" s="230"/>
      <c r="AB14" s="230"/>
      <c r="AC14" s="230"/>
      <c r="AD14" s="230"/>
      <c r="AE14" s="230"/>
    </row>
    <row r="15" spans="1:31" x14ac:dyDescent="0.25">
      <c r="A15" s="230"/>
      <c r="B15" s="230"/>
      <c r="C15" s="230"/>
      <c r="D15" s="230"/>
      <c r="E15" s="230"/>
      <c r="F15" s="230"/>
      <c r="G15" s="230"/>
      <c r="H15" s="230"/>
      <c r="I15" s="230"/>
      <c r="J15" s="231"/>
      <c r="K15" s="230"/>
      <c r="L15" s="230"/>
      <c r="M15" s="230"/>
      <c r="N15" s="230"/>
      <c r="O15" s="231"/>
      <c r="P15" s="231"/>
      <c r="Q15" s="230"/>
      <c r="R15" s="230"/>
      <c r="S15" s="230"/>
      <c r="T15" s="230"/>
      <c r="U15" s="231"/>
      <c r="V15" s="231"/>
      <c r="W15" s="231"/>
      <c r="X15" s="231"/>
      <c r="Y15" s="230"/>
      <c r="Z15" s="230"/>
      <c r="AA15" s="230"/>
      <c r="AB15" s="230"/>
      <c r="AC15" s="230"/>
      <c r="AD15" s="230"/>
      <c r="AE15" s="230"/>
    </row>
    <row r="16" spans="1:31" x14ac:dyDescent="0.25">
      <c r="A16" s="230"/>
      <c r="B16" s="230"/>
      <c r="C16" s="230"/>
      <c r="D16" s="230"/>
      <c r="E16" s="230"/>
      <c r="F16" s="230"/>
      <c r="G16" s="230"/>
      <c r="H16" s="230"/>
      <c r="I16" s="230"/>
      <c r="J16" s="231"/>
      <c r="K16" s="230"/>
      <c r="L16" s="230"/>
      <c r="M16" s="230"/>
      <c r="N16" s="230"/>
      <c r="O16" s="231"/>
      <c r="P16" s="231"/>
      <c r="Q16" s="230"/>
      <c r="R16" s="230"/>
      <c r="S16" s="230"/>
      <c r="T16" s="230"/>
      <c r="U16" s="231"/>
      <c r="V16" s="231"/>
      <c r="W16" s="231"/>
      <c r="X16" s="231"/>
      <c r="Y16" s="230"/>
      <c r="Z16" s="230"/>
      <c r="AA16" s="230"/>
      <c r="AB16" s="230"/>
      <c r="AC16" s="230"/>
      <c r="AD16" s="230"/>
      <c r="AE16" s="230"/>
    </row>
    <row r="17" spans="1:31" x14ac:dyDescent="0.25">
      <c r="A17" s="230"/>
      <c r="B17" s="230"/>
      <c r="C17" s="230"/>
      <c r="D17" s="230"/>
      <c r="E17" s="230"/>
      <c r="F17" s="230"/>
      <c r="G17" s="230"/>
      <c r="H17" s="230"/>
      <c r="I17" s="230"/>
      <c r="J17" s="231"/>
      <c r="K17" s="230"/>
      <c r="L17" s="230"/>
      <c r="M17" s="230"/>
      <c r="N17" s="230"/>
      <c r="O17" s="231"/>
      <c r="P17" s="231"/>
      <c r="Q17" s="230"/>
      <c r="R17" s="230"/>
      <c r="S17" s="230"/>
      <c r="T17" s="230"/>
      <c r="U17" s="231"/>
      <c r="V17" s="231"/>
      <c r="W17" s="231"/>
      <c r="X17" s="231"/>
      <c r="Y17" s="230"/>
      <c r="Z17" s="230"/>
      <c r="AA17" s="230"/>
      <c r="AB17" s="230"/>
      <c r="AC17" s="230"/>
      <c r="AD17" s="230"/>
      <c r="AE17" s="230"/>
    </row>
    <row r="18" spans="1:31" x14ac:dyDescent="0.25">
      <c r="A18" s="230"/>
      <c r="B18" s="230"/>
      <c r="C18" s="230"/>
      <c r="D18" s="230"/>
      <c r="E18" s="230"/>
      <c r="F18" s="230"/>
      <c r="G18" s="230"/>
      <c r="H18" s="230"/>
      <c r="I18" s="230"/>
      <c r="J18" s="231"/>
      <c r="K18" s="230"/>
      <c r="L18" s="230"/>
      <c r="M18" s="230"/>
      <c r="N18" s="230"/>
      <c r="O18" s="231"/>
      <c r="P18" s="231"/>
      <c r="Q18" s="230"/>
      <c r="R18" s="230"/>
      <c r="S18" s="230"/>
      <c r="T18" s="230"/>
      <c r="U18" s="231"/>
      <c r="V18" s="231"/>
      <c r="W18" s="231"/>
      <c r="X18" s="231"/>
      <c r="Y18" s="230"/>
      <c r="Z18" s="230"/>
      <c r="AA18" s="230"/>
      <c r="AB18" s="230"/>
      <c r="AC18" s="230"/>
      <c r="AD18" s="230"/>
      <c r="AE18" s="230"/>
    </row>
    <row r="19" spans="1:31" x14ac:dyDescent="0.25">
      <c r="A19" s="230"/>
      <c r="B19" s="230"/>
      <c r="C19" s="230"/>
      <c r="D19" s="230"/>
      <c r="E19" s="230"/>
      <c r="F19" s="230"/>
      <c r="G19" s="230"/>
      <c r="H19" s="230"/>
      <c r="I19" s="230"/>
      <c r="J19" s="231"/>
      <c r="K19" s="230"/>
      <c r="L19" s="230"/>
      <c r="M19" s="230"/>
      <c r="N19" s="230"/>
      <c r="O19" s="231"/>
      <c r="P19" s="231"/>
      <c r="Q19" s="230"/>
      <c r="R19" s="230"/>
      <c r="S19" s="230"/>
      <c r="T19" s="230"/>
      <c r="U19" s="231"/>
      <c r="V19" s="231"/>
      <c r="W19" s="231"/>
      <c r="X19" s="231"/>
      <c r="Y19" s="230"/>
      <c r="Z19" s="230"/>
      <c r="AA19" s="230"/>
      <c r="AB19" s="230"/>
      <c r="AC19" s="230"/>
      <c r="AD19" s="230"/>
      <c r="AE19" s="230"/>
    </row>
    <row r="20" spans="1:31" x14ac:dyDescent="0.25">
      <c r="A20" s="230"/>
      <c r="B20" s="230"/>
      <c r="C20" s="230"/>
      <c r="D20" s="230"/>
      <c r="E20" s="230"/>
      <c r="F20" s="230"/>
      <c r="G20" s="230"/>
      <c r="H20" s="230"/>
      <c r="I20" s="230"/>
      <c r="J20" s="231"/>
      <c r="K20" s="230"/>
      <c r="L20" s="230"/>
      <c r="M20" s="230"/>
      <c r="N20" s="230"/>
      <c r="O20" s="231"/>
      <c r="P20" s="231"/>
      <c r="Q20" s="230"/>
      <c r="R20" s="230"/>
      <c r="S20" s="230"/>
      <c r="T20" s="230"/>
      <c r="U20" s="231"/>
      <c r="V20" s="231"/>
      <c r="W20" s="231"/>
      <c r="X20" s="231"/>
      <c r="Y20" s="230"/>
      <c r="Z20" s="230"/>
      <c r="AA20" s="230"/>
      <c r="AB20" s="230"/>
      <c r="AC20" s="230"/>
      <c r="AD20" s="230"/>
      <c r="AE20" s="230"/>
    </row>
    <row r="21" spans="1:31" x14ac:dyDescent="0.25">
      <c r="A21" s="230"/>
      <c r="B21" s="230"/>
      <c r="C21" s="230"/>
      <c r="D21" s="230"/>
      <c r="E21" s="230"/>
      <c r="F21" s="230"/>
      <c r="G21" s="230"/>
      <c r="H21" s="230"/>
      <c r="I21" s="230"/>
      <c r="J21" s="231"/>
      <c r="K21" s="230"/>
      <c r="L21" s="230"/>
      <c r="M21" s="230"/>
      <c r="N21" s="230"/>
      <c r="O21" s="231"/>
      <c r="P21" s="231"/>
      <c r="Q21" s="230"/>
      <c r="R21" s="230"/>
      <c r="S21" s="230"/>
      <c r="T21" s="230"/>
      <c r="U21" s="231"/>
      <c r="V21" s="231"/>
      <c r="W21" s="231"/>
      <c r="X21" s="231"/>
      <c r="Y21" s="230"/>
      <c r="Z21" s="230"/>
      <c r="AA21" s="230"/>
      <c r="AB21" s="230"/>
      <c r="AC21" s="230"/>
      <c r="AD21" s="230"/>
      <c r="AE21" s="230"/>
    </row>
    <row r="22" spans="1:31" x14ac:dyDescent="0.25">
      <c r="A22" s="230"/>
      <c r="B22" s="230"/>
      <c r="C22" s="230"/>
      <c r="D22" s="230"/>
      <c r="E22" s="230"/>
      <c r="F22" s="230"/>
      <c r="G22" s="230"/>
      <c r="H22" s="230"/>
      <c r="I22" s="230"/>
      <c r="J22" s="231"/>
      <c r="K22" s="230"/>
      <c r="L22" s="230"/>
      <c r="M22" s="230"/>
      <c r="N22" s="230"/>
      <c r="O22" s="231"/>
      <c r="P22" s="231"/>
      <c r="Q22" s="230"/>
      <c r="R22" s="230"/>
      <c r="S22" s="230"/>
      <c r="T22" s="230"/>
      <c r="U22" s="231"/>
      <c r="V22" s="231"/>
      <c r="W22" s="231"/>
      <c r="X22" s="231"/>
      <c r="Y22" s="230"/>
      <c r="Z22" s="230"/>
      <c r="AA22" s="230"/>
      <c r="AB22" s="230"/>
      <c r="AC22" s="230"/>
      <c r="AD22" s="230"/>
      <c r="AE22" s="230"/>
    </row>
    <row r="23" spans="1:31" x14ac:dyDescent="0.25">
      <c r="A23" s="230"/>
      <c r="B23" s="230"/>
      <c r="C23" s="230"/>
      <c r="D23" s="230"/>
      <c r="E23" s="230"/>
      <c r="F23" s="230"/>
      <c r="G23" s="230"/>
      <c r="H23" s="230"/>
      <c r="I23" s="230"/>
      <c r="J23" s="231"/>
      <c r="K23" s="230"/>
      <c r="L23" s="230"/>
      <c r="M23" s="230"/>
      <c r="N23" s="230"/>
      <c r="O23" s="231"/>
      <c r="P23" s="231"/>
      <c r="Q23" s="230"/>
      <c r="R23" s="230"/>
      <c r="S23" s="230"/>
      <c r="T23" s="230"/>
      <c r="U23" s="231"/>
      <c r="V23" s="231"/>
      <c r="W23" s="231"/>
      <c r="X23" s="231"/>
      <c r="Y23" s="230"/>
      <c r="Z23" s="230"/>
      <c r="AA23" s="230"/>
      <c r="AB23" s="230"/>
      <c r="AC23" s="230"/>
      <c r="AD23" s="230"/>
      <c r="AE23" s="230"/>
    </row>
    <row r="24" spans="1:31" x14ac:dyDescent="0.25">
      <c r="A24" s="230"/>
      <c r="B24" s="230"/>
      <c r="C24" s="230"/>
      <c r="D24" s="230"/>
      <c r="E24" s="230"/>
      <c r="F24" s="230"/>
      <c r="G24" s="230"/>
      <c r="H24" s="230"/>
      <c r="I24" s="230"/>
      <c r="J24" s="231"/>
      <c r="K24" s="230"/>
      <c r="L24" s="230"/>
      <c r="M24" s="230"/>
      <c r="N24" s="230"/>
      <c r="O24" s="231"/>
      <c r="P24" s="231"/>
      <c r="Q24" s="230"/>
      <c r="R24" s="230"/>
      <c r="S24" s="230"/>
      <c r="T24" s="230"/>
      <c r="U24" s="231"/>
      <c r="V24" s="231"/>
      <c r="W24" s="231"/>
      <c r="X24" s="231"/>
      <c r="Y24" s="230"/>
      <c r="Z24" s="230"/>
      <c r="AA24" s="230"/>
      <c r="AB24" s="230"/>
      <c r="AC24" s="230"/>
      <c r="AD24" s="230"/>
      <c r="AE24" s="230"/>
    </row>
    <row r="25" spans="1:31" x14ac:dyDescent="0.25">
      <c r="A25" s="230"/>
      <c r="B25" s="230"/>
      <c r="C25" s="230"/>
      <c r="D25" s="230"/>
      <c r="E25" s="230"/>
      <c r="F25" s="230"/>
      <c r="G25" s="230"/>
      <c r="H25" s="230"/>
      <c r="I25" s="230"/>
      <c r="J25" s="231"/>
      <c r="K25" s="230"/>
      <c r="L25" s="230"/>
      <c r="M25" s="230"/>
      <c r="N25" s="230"/>
      <c r="O25" s="231"/>
      <c r="P25" s="231"/>
      <c r="Q25" s="230"/>
      <c r="R25" s="230"/>
      <c r="S25" s="230"/>
      <c r="T25" s="230"/>
      <c r="U25" s="231"/>
      <c r="V25" s="231"/>
      <c r="W25" s="231"/>
      <c r="X25" s="231"/>
      <c r="Y25" s="230"/>
      <c r="Z25" s="230"/>
      <c r="AA25" s="230"/>
      <c r="AB25" s="230"/>
      <c r="AC25" s="230"/>
      <c r="AD25" s="230"/>
      <c r="AE25" s="230"/>
    </row>
    <row r="26" spans="1:31" x14ac:dyDescent="0.25">
      <c r="A26" s="230"/>
      <c r="B26" s="230"/>
      <c r="C26" s="230"/>
      <c r="D26" s="230"/>
      <c r="E26" s="230"/>
      <c r="F26" s="230"/>
      <c r="G26" s="230"/>
      <c r="H26" s="230"/>
      <c r="I26" s="230"/>
      <c r="J26" s="231"/>
      <c r="K26" s="230"/>
      <c r="L26" s="230"/>
      <c r="M26" s="230"/>
      <c r="N26" s="230"/>
      <c r="O26" s="231"/>
      <c r="P26" s="231"/>
      <c r="Q26" s="230"/>
      <c r="R26" s="230"/>
      <c r="S26" s="230"/>
      <c r="T26" s="230"/>
      <c r="U26" s="231"/>
      <c r="V26" s="231"/>
      <c r="W26" s="231"/>
      <c r="X26" s="231"/>
      <c r="Y26" s="230"/>
      <c r="Z26" s="230"/>
      <c r="AA26" s="230"/>
      <c r="AB26" s="230"/>
      <c r="AC26" s="230"/>
      <c r="AD26" s="230"/>
      <c r="AE26" s="230"/>
    </row>
    <row r="27" spans="1:31" x14ac:dyDescent="0.25">
      <c r="A27" s="230"/>
      <c r="B27" s="230"/>
      <c r="C27" s="230"/>
      <c r="D27" s="230"/>
      <c r="E27" s="230"/>
      <c r="F27" s="230"/>
      <c r="G27" s="230"/>
      <c r="H27" s="230"/>
      <c r="I27" s="230"/>
      <c r="J27" s="231"/>
      <c r="K27" s="230"/>
      <c r="L27" s="230"/>
      <c r="M27" s="230"/>
      <c r="N27" s="230"/>
      <c r="O27" s="231"/>
      <c r="P27" s="231"/>
      <c r="Q27" s="230"/>
      <c r="R27" s="230"/>
      <c r="S27" s="230"/>
      <c r="T27" s="230"/>
      <c r="U27" s="231"/>
      <c r="V27" s="231"/>
      <c r="W27" s="231"/>
      <c r="X27" s="231"/>
      <c r="Y27" s="230"/>
      <c r="Z27" s="230"/>
      <c r="AA27" s="230"/>
      <c r="AB27" s="230"/>
      <c r="AC27" s="230"/>
      <c r="AD27" s="230"/>
      <c r="AE27" s="230"/>
    </row>
    <row r="28" spans="1:31" x14ac:dyDescent="0.25">
      <c r="A28" s="230"/>
      <c r="B28" s="230"/>
      <c r="C28" s="230"/>
      <c r="D28" s="230"/>
      <c r="E28" s="230"/>
      <c r="F28" s="230"/>
      <c r="G28" s="230"/>
      <c r="H28" s="230"/>
      <c r="I28" s="230"/>
      <c r="J28" s="231"/>
      <c r="K28" s="230"/>
      <c r="L28" s="230"/>
      <c r="M28" s="230"/>
      <c r="N28" s="230"/>
      <c r="O28" s="231"/>
      <c r="P28" s="231"/>
      <c r="Q28" s="230"/>
      <c r="R28" s="230"/>
      <c r="S28" s="230"/>
      <c r="T28" s="230"/>
      <c r="U28" s="231"/>
      <c r="V28" s="231"/>
      <c r="W28" s="231"/>
      <c r="X28" s="231"/>
      <c r="Y28" s="230"/>
      <c r="Z28" s="230"/>
      <c r="AA28" s="230"/>
      <c r="AB28" s="230"/>
      <c r="AC28" s="230"/>
      <c r="AD28" s="230"/>
      <c r="AE28" s="230"/>
    </row>
    <row r="29" spans="1:31" x14ac:dyDescent="0.25">
      <c r="A29" s="230"/>
      <c r="B29" s="230"/>
      <c r="C29" s="230"/>
      <c r="D29" s="230"/>
      <c r="E29" s="230"/>
      <c r="F29" s="230"/>
      <c r="G29" s="230"/>
      <c r="H29" s="230"/>
      <c r="I29" s="230"/>
      <c r="J29" s="231"/>
      <c r="K29" s="230"/>
      <c r="L29" s="230"/>
      <c r="M29" s="230"/>
      <c r="N29" s="230"/>
      <c r="O29" s="231"/>
      <c r="P29" s="231"/>
      <c r="Q29" s="230"/>
      <c r="R29" s="230"/>
      <c r="S29" s="230"/>
      <c r="T29" s="230"/>
      <c r="U29" s="231"/>
      <c r="V29" s="231"/>
      <c r="W29" s="231"/>
      <c r="X29" s="231"/>
      <c r="Y29" s="230"/>
      <c r="Z29" s="230"/>
      <c r="AA29" s="230"/>
      <c r="AB29" s="230"/>
      <c r="AC29" s="230"/>
      <c r="AD29" s="230"/>
      <c r="AE29" s="230"/>
    </row>
    <row r="30" spans="1:31" x14ac:dyDescent="0.25">
      <c r="A30" s="230"/>
      <c r="B30" s="230"/>
      <c r="C30" s="230"/>
      <c r="D30" s="230"/>
      <c r="E30" s="230"/>
      <c r="F30" s="230"/>
      <c r="G30" s="230"/>
      <c r="H30" s="230"/>
      <c r="I30" s="230"/>
      <c r="J30" s="231"/>
      <c r="K30" s="230"/>
      <c r="L30" s="230"/>
      <c r="M30" s="230"/>
      <c r="N30" s="230"/>
      <c r="O30" s="231"/>
      <c r="P30" s="231"/>
      <c r="Q30" s="230"/>
      <c r="R30" s="230"/>
      <c r="S30" s="230"/>
      <c r="T30" s="230"/>
      <c r="U30" s="231"/>
      <c r="V30" s="231"/>
      <c r="W30" s="231"/>
      <c r="X30" s="231"/>
      <c r="Y30" s="230"/>
      <c r="Z30" s="230"/>
      <c r="AA30" s="230"/>
      <c r="AB30" s="230"/>
      <c r="AC30" s="230"/>
      <c r="AD30" s="230"/>
      <c r="AE30" s="230"/>
    </row>
    <row r="31" spans="1:31" x14ac:dyDescent="0.25">
      <c r="A31" s="230"/>
      <c r="B31" s="230"/>
      <c r="C31" s="230"/>
      <c r="D31" s="230"/>
      <c r="E31" s="230"/>
      <c r="F31" s="230"/>
      <c r="G31" s="230"/>
      <c r="H31" s="230"/>
      <c r="I31" s="230"/>
      <c r="J31" s="231"/>
      <c r="K31" s="230"/>
      <c r="L31" s="230"/>
      <c r="M31" s="230"/>
      <c r="N31" s="230"/>
      <c r="O31" s="231"/>
      <c r="P31" s="231"/>
      <c r="Q31" s="230"/>
      <c r="R31" s="230"/>
      <c r="S31" s="230"/>
      <c r="T31" s="230"/>
      <c r="U31" s="231"/>
      <c r="V31" s="231"/>
      <c r="W31" s="231"/>
      <c r="X31" s="231"/>
      <c r="Y31" s="230"/>
      <c r="Z31" s="230"/>
      <c r="AA31" s="230"/>
      <c r="AB31" s="230"/>
      <c r="AC31" s="230"/>
      <c r="AD31" s="230"/>
      <c r="AE31" s="230"/>
    </row>
    <row r="32" spans="1:31" x14ac:dyDescent="0.25">
      <c r="A32" s="230"/>
      <c r="B32" s="230"/>
      <c r="C32" s="230"/>
      <c r="D32" s="230"/>
      <c r="E32" s="230"/>
      <c r="F32" s="230"/>
      <c r="G32" s="230"/>
      <c r="H32" s="230"/>
      <c r="I32" s="230"/>
      <c r="J32" s="231"/>
      <c r="K32" s="230"/>
      <c r="L32" s="230"/>
      <c r="M32" s="230"/>
      <c r="N32" s="230"/>
      <c r="O32" s="231"/>
      <c r="P32" s="231"/>
      <c r="Q32" s="230"/>
      <c r="R32" s="230"/>
      <c r="S32" s="230"/>
      <c r="T32" s="230"/>
      <c r="U32" s="231"/>
      <c r="V32" s="231"/>
      <c r="W32" s="231"/>
      <c r="X32" s="231"/>
      <c r="Y32" s="230"/>
      <c r="Z32" s="230"/>
      <c r="AA32" s="230"/>
      <c r="AB32" s="230"/>
      <c r="AC32" s="230"/>
      <c r="AD32" s="230"/>
      <c r="AE32" s="230"/>
    </row>
    <row r="33" spans="1:31" x14ac:dyDescent="0.25">
      <c r="A33" s="230"/>
      <c r="B33" s="230"/>
      <c r="C33" s="230"/>
      <c r="D33" s="230"/>
      <c r="E33" s="230"/>
      <c r="F33" s="230"/>
      <c r="G33" s="230"/>
      <c r="H33" s="230"/>
      <c r="I33" s="230"/>
      <c r="J33" s="231"/>
      <c r="K33" s="230"/>
      <c r="L33" s="230"/>
      <c r="M33" s="230"/>
      <c r="N33" s="230"/>
      <c r="O33" s="231"/>
      <c r="P33" s="231"/>
      <c r="Q33" s="230"/>
      <c r="R33" s="230"/>
      <c r="S33" s="230"/>
      <c r="T33" s="230"/>
      <c r="U33" s="231"/>
      <c r="V33" s="231"/>
      <c r="W33" s="231"/>
      <c r="X33" s="231"/>
      <c r="Y33" s="230"/>
      <c r="Z33" s="230"/>
      <c r="AA33" s="230"/>
      <c r="AB33" s="230"/>
      <c r="AC33" s="230"/>
      <c r="AD33" s="230"/>
      <c r="AE33" s="230"/>
    </row>
    <row r="34" spans="1:31" x14ac:dyDescent="0.25">
      <c r="A34" s="230"/>
      <c r="B34" s="230"/>
      <c r="C34" s="230"/>
      <c r="D34" s="230"/>
      <c r="E34" s="230"/>
      <c r="F34" s="230"/>
      <c r="G34" s="230"/>
      <c r="H34" s="230"/>
      <c r="I34" s="230"/>
      <c r="J34" s="231"/>
      <c r="K34" s="230"/>
      <c r="L34" s="230"/>
      <c r="M34" s="230"/>
      <c r="N34" s="230"/>
      <c r="O34" s="231"/>
      <c r="P34" s="231"/>
      <c r="Q34" s="230"/>
      <c r="R34" s="230"/>
      <c r="S34" s="230"/>
      <c r="T34" s="230"/>
      <c r="U34" s="231"/>
      <c r="V34" s="231"/>
      <c r="W34" s="231"/>
      <c r="X34" s="231"/>
      <c r="Y34" s="230"/>
      <c r="Z34" s="230"/>
      <c r="AA34" s="230"/>
      <c r="AB34" s="230"/>
      <c r="AC34" s="230"/>
      <c r="AD34" s="230"/>
      <c r="AE34" s="230"/>
    </row>
    <row r="35" spans="1:31" x14ac:dyDescent="0.25">
      <c r="A35" s="230"/>
      <c r="B35" s="230"/>
      <c r="C35" s="230"/>
      <c r="D35" s="230"/>
      <c r="E35" s="230"/>
      <c r="F35" s="230"/>
      <c r="G35" s="230"/>
      <c r="H35" s="230"/>
      <c r="I35" s="230"/>
      <c r="J35" s="231"/>
      <c r="K35" s="230"/>
      <c r="L35" s="230"/>
      <c r="M35" s="230"/>
      <c r="N35" s="230"/>
      <c r="O35" s="231"/>
      <c r="P35" s="231"/>
      <c r="Q35" s="230"/>
      <c r="R35" s="230"/>
      <c r="S35" s="230"/>
      <c r="T35" s="230"/>
      <c r="U35" s="231"/>
      <c r="V35" s="231"/>
      <c r="W35" s="231"/>
      <c r="X35" s="231"/>
      <c r="Y35" s="230"/>
      <c r="Z35" s="230"/>
      <c r="AA35" s="230"/>
      <c r="AB35" s="230"/>
      <c r="AC35" s="230"/>
      <c r="AD35" s="230"/>
      <c r="AE35" s="230"/>
    </row>
    <row r="36" spans="1:31" x14ac:dyDescent="0.25">
      <c r="A36" s="230"/>
      <c r="B36" s="230"/>
      <c r="C36" s="230"/>
      <c r="D36" s="230"/>
      <c r="E36" s="230"/>
      <c r="F36" s="230"/>
      <c r="G36" s="230"/>
      <c r="H36" s="230"/>
      <c r="I36" s="230"/>
      <c r="J36" s="231"/>
      <c r="K36" s="230"/>
      <c r="L36" s="230"/>
      <c r="M36" s="230"/>
      <c r="N36" s="230"/>
      <c r="O36" s="231"/>
      <c r="P36" s="231"/>
      <c r="Q36" s="230"/>
      <c r="R36" s="230"/>
      <c r="S36" s="230"/>
      <c r="T36" s="230"/>
      <c r="U36" s="231"/>
      <c r="V36" s="231"/>
      <c r="W36" s="231"/>
      <c r="X36" s="231"/>
      <c r="Y36" s="230"/>
      <c r="Z36" s="230"/>
      <c r="AA36" s="230"/>
      <c r="AB36" s="230"/>
      <c r="AC36" s="230"/>
      <c r="AD36" s="230"/>
      <c r="AE36" s="230"/>
    </row>
    <row r="37" spans="1:31" x14ac:dyDescent="0.25">
      <c r="A37" s="230"/>
      <c r="B37" s="230"/>
      <c r="C37" s="230"/>
      <c r="D37" s="230"/>
      <c r="E37" s="230"/>
      <c r="F37" s="230"/>
      <c r="G37" s="230"/>
      <c r="H37" s="230"/>
      <c r="I37" s="230"/>
      <c r="J37" s="231"/>
      <c r="K37" s="230"/>
      <c r="L37" s="230"/>
      <c r="M37" s="230"/>
      <c r="N37" s="230"/>
      <c r="O37" s="231"/>
      <c r="P37" s="231"/>
      <c r="Q37" s="230"/>
      <c r="R37" s="230"/>
      <c r="S37" s="230"/>
      <c r="T37" s="230"/>
      <c r="U37" s="231"/>
      <c r="V37" s="231"/>
      <c r="W37" s="231"/>
      <c r="X37" s="231"/>
      <c r="Y37" s="230"/>
      <c r="Z37" s="230"/>
      <c r="AA37" s="230"/>
      <c r="AB37" s="230"/>
      <c r="AC37" s="230"/>
      <c r="AD37" s="230"/>
      <c r="AE37" s="230"/>
    </row>
    <row r="38" spans="1:31" x14ac:dyDescent="0.25">
      <c r="A38" s="230"/>
      <c r="B38" s="230"/>
      <c r="C38" s="230"/>
      <c r="D38" s="230"/>
      <c r="E38" s="230"/>
      <c r="F38" s="230"/>
      <c r="G38" s="230"/>
      <c r="H38" s="230"/>
      <c r="I38" s="230"/>
      <c r="J38" s="231"/>
      <c r="K38" s="230"/>
      <c r="L38" s="230"/>
      <c r="M38" s="230"/>
      <c r="N38" s="230"/>
      <c r="O38" s="231"/>
      <c r="P38" s="231"/>
      <c r="Q38" s="230"/>
      <c r="R38" s="230"/>
      <c r="S38" s="230"/>
      <c r="T38" s="230"/>
      <c r="U38" s="231"/>
      <c r="V38" s="231"/>
      <c r="W38" s="231"/>
      <c r="X38" s="231"/>
      <c r="Y38" s="230"/>
      <c r="Z38" s="230"/>
      <c r="AA38" s="230"/>
      <c r="AB38" s="230"/>
      <c r="AC38" s="230"/>
      <c r="AD38" s="230"/>
      <c r="AE38" s="230"/>
    </row>
    <row r="39" spans="1:31" x14ac:dyDescent="0.25">
      <c r="A39" s="230"/>
      <c r="B39" s="230"/>
      <c r="C39" s="230"/>
      <c r="D39" s="230"/>
      <c r="E39" s="230"/>
      <c r="F39" s="230"/>
      <c r="G39" s="230"/>
      <c r="H39" s="230"/>
      <c r="I39" s="230"/>
      <c r="J39" s="231"/>
      <c r="K39" s="230"/>
      <c r="L39" s="230"/>
      <c r="M39" s="230"/>
      <c r="N39" s="230"/>
      <c r="O39" s="231"/>
      <c r="P39" s="231"/>
      <c r="Q39" s="230"/>
      <c r="R39" s="230"/>
      <c r="S39" s="230"/>
      <c r="T39" s="230"/>
      <c r="U39" s="231"/>
      <c r="V39" s="231"/>
      <c r="W39" s="231"/>
      <c r="X39" s="231"/>
      <c r="Y39" s="230"/>
      <c r="Z39" s="230"/>
      <c r="AA39" s="230"/>
      <c r="AB39" s="230"/>
      <c r="AC39" s="230"/>
      <c r="AD39" s="230"/>
      <c r="AE39" s="230"/>
    </row>
    <row r="40" spans="1:31" x14ac:dyDescent="0.25">
      <c r="A40" s="230"/>
      <c r="B40" s="230"/>
      <c r="C40" s="230"/>
      <c r="D40" s="230"/>
      <c r="E40" s="230"/>
      <c r="F40" s="230"/>
      <c r="G40" s="230"/>
      <c r="H40" s="230"/>
      <c r="I40" s="230"/>
      <c r="J40" s="231"/>
      <c r="K40" s="230"/>
      <c r="L40" s="230"/>
      <c r="M40" s="230"/>
      <c r="N40" s="230"/>
      <c r="O40" s="231"/>
      <c r="P40" s="231"/>
      <c r="Q40" s="230"/>
      <c r="R40" s="230"/>
      <c r="S40" s="230"/>
      <c r="T40" s="230"/>
      <c r="U40" s="231"/>
      <c r="V40" s="231"/>
      <c r="W40" s="231"/>
      <c r="X40" s="231"/>
      <c r="Y40" s="230"/>
      <c r="Z40" s="230"/>
      <c r="AA40" s="230"/>
      <c r="AB40" s="230"/>
      <c r="AC40" s="230"/>
      <c r="AD40" s="230"/>
      <c r="AE40" s="230"/>
    </row>
    <row r="41" spans="1:31" x14ac:dyDescent="0.25">
      <c r="A41" s="230"/>
      <c r="B41" s="230"/>
      <c r="C41" s="230"/>
      <c r="D41" s="230"/>
      <c r="E41" s="230"/>
      <c r="F41" s="230"/>
      <c r="G41" s="230"/>
      <c r="H41" s="230"/>
      <c r="I41" s="230"/>
      <c r="J41" s="231"/>
      <c r="K41" s="230"/>
      <c r="L41" s="230"/>
      <c r="M41" s="230"/>
      <c r="N41" s="230"/>
      <c r="O41" s="231"/>
      <c r="P41" s="231"/>
      <c r="Q41" s="230"/>
      <c r="R41" s="230"/>
      <c r="S41" s="230"/>
      <c r="T41" s="230"/>
      <c r="U41" s="231"/>
      <c r="V41" s="231"/>
      <c r="W41" s="231"/>
      <c r="X41" s="231"/>
      <c r="Y41" s="230"/>
      <c r="Z41" s="230"/>
      <c r="AA41" s="230"/>
      <c r="AB41" s="230"/>
      <c r="AC41" s="230"/>
      <c r="AD41" s="230"/>
      <c r="AE41" s="230"/>
    </row>
    <row r="42" spans="1:31" x14ac:dyDescent="0.25">
      <c r="A42" s="230"/>
      <c r="B42" s="230"/>
      <c r="C42" s="230"/>
      <c r="D42" s="230"/>
      <c r="E42" s="230"/>
      <c r="F42" s="230"/>
      <c r="G42" s="230"/>
      <c r="H42" s="230"/>
      <c r="I42" s="230"/>
      <c r="J42" s="231"/>
      <c r="K42" s="230"/>
      <c r="L42" s="230"/>
      <c r="M42" s="230"/>
      <c r="N42" s="230"/>
      <c r="O42" s="231"/>
      <c r="P42" s="231"/>
      <c r="Q42" s="230"/>
      <c r="R42" s="230"/>
      <c r="S42" s="230"/>
      <c r="T42" s="230"/>
      <c r="U42" s="231"/>
      <c r="V42" s="231"/>
      <c r="W42" s="231"/>
      <c r="X42" s="231"/>
      <c r="Y42" s="230"/>
      <c r="Z42" s="230"/>
      <c r="AA42" s="230"/>
      <c r="AB42" s="230"/>
      <c r="AC42" s="230"/>
      <c r="AD42" s="230"/>
      <c r="AE42" s="230"/>
    </row>
    <row r="43" spans="1:31" x14ac:dyDescent="0.25">
      <c r="A43" s="230"/>
      <c r="B43" s="230"/>
      <c r="C43" s="230"/>
      <c r="D43" s="230"/>
      <c r="E43" s="230"/>
      <c r="F43" s="230"/>
      <c r="G43" s="230"/>
      <c r="H43" s="230"/>
      <c r="I43" s="230"/>
      <c r="J43" s="231"/>
      <c r="K43" s="230"/>
      <c r="L43" s="230"/>
      <c r="M43" s="230"/>
      <c r="N43" s="230"/>
      <c r="O43" s="231"/>
      <c r="P43" s="231"/>
      <c r="Q43" s="230"/>
      <c r="R43" s="230"/>
      <c r="S43" s="230"/>
      <c r="T43" s="230"/>
      <c r="U43" s="231"/>
      <c r="V43" s="231"/>
      <c r="W43" s="231"/>
      <c r="X43" s="231"/>
      <c r="Y43" s="230"/>
      <c r="Z43" s="230"/>
      <c r="AA43" s="230"/>
      <c r="AB43" s="230"/>
      <c r="AC43" s="230"/>
      <c r="AD43" s="230"/>
      <c r="AE43" s="230"/>
    </row>
    <row r="44" spans="1:31" x14ac:dyDescent="0.25">
      <c r="A44" s="230"/>
      <c r="B44" s="230"/>
      <c r="C44" s="230"/>
      <c r="D44" s="230"/>
      <c r="E44" s="230"/>
      <c r="F44" s="230"/>
      <c r="G44" s="230"/>
      <c r="H44" s="230"/>
      <c r="I44" s="230"/>
      <c r="J44" s="231"/>
      <c r="K44" s="230"/>
      <c r="L44" s="230"/>
      <c r="M44" s="230"/>
      <c r="N44" s="230"/>
      <c r="O44" s="231"/>
      <c r="P44" s="231"/>
      <c r="Q44" s="230"/>
      <c r="R44" s="230"/>
      <c r="S44" s="230"/>
      <c r="T44" s="230"/>
      <c r="U44" s="231"/>
      <c r="V44" s="231"/>
      <c r="W44" s="231"/>
      <c r="X44" s="231"/>
      <c r="Y44" s="230"/>
      <c r="Z44" s="230"/>
      <c r="AA44" s="230"/>
      <c r="AB44" s="230"/>
      <c r="AC44" s="230"/>
      <c r="AD44" s="230"/>
      <c r="AE44" s="230"/>
    </row>
    <row r="45" spans="1:31" x14ac:dyDescent="0.25">
      <c r="A45" s="230"/>
      <c r="B45" s="230"/>
      <c r="C45" s="230"/>
      <c r="D45" s="230"/>
      <c r="E45" s="230"/>
      <c r="F45" s="230"/>
      <c r="G45" s="230"/>
      <c r="H45" s="230"/>
      <c r="I45" s="230"/>
      <c r="J45" s="231"/>
      <c r="K45" s="230"/>
      <c r="L45" s="230"/>
      <c r="M45" s="230"/>
      <c r="N45" s="230"/>
      <c r="O45" s="231"/>
      <c r="P45" s="231"/>
      <c r="Q45" s="230"/>
      <c r="R45" s="230"/>
      <c r="S45" s="230"/>
      <c r="T45" s="230"/>
      <c r="U45" s="231"/>
      <c r="V45" s="231"/>
      <c r="W45" s="231"/>
      <c r="X45" s="231"/>
      <c r="Y45" s="230"/>
      <c r="Z45" s="230"/>
      <c r="AA45" s="230"/>
      <c r="AB45" s="230"/>
      <c r="AC45" s="230"/>
      <c r="AD45" s="230"/>
      <c r="AE45" s="230"/>
    </row>
  </sheetData>
  <mergeCells count="463">
    <mergeCell ref="A1:AE1"/>
    <mergeCell ref="A2:L2"/>
    <mergeCell ref="M2:U2"/>
    <mergeCell ref="V2:Z2"/>
    <mergeCell ref="AA2:AE2"/>
    <mergeCell ref="A3:L3"/>
    <mergeCell ref="M3:U3"/>
    <mergeCell ref="V3:Z3"/>
    <mergeCell ref="AA3:AE3"/>
    <mergeCell ref="A4:L4"/>
    <mergeCell ref="M4:U4"/>
    <mergeCell ref="V4:AE4"/>
    <mergeCell ref="A5:L5"/>
    <mergeCell ref="M5:U5"/>
    <mergeCell ref="V5:AE5"/>
    <mergeCell ref="A6:B9"/>
    <mergeCell ref="C6:F9"/>
    <mergeCell ref="G6:I9"/>
    <mergeCell ref="J6:N6"/>
    <mergeCell ref="O6:P9"/>
    <mergeCell ref="Q6:AA6"/>
    <mergeCell ref="AB6:AE9"/>
    <mergeCell ref="K7:L9"/>
    <mergeCell ref="M7:N9"/>
    <mergeCell ref="Q7:R9"/>
    <mergeCell ref="S7:T9"/>
    <mergeCell ref="U7:X7"/>
    <mergeCell ref="Y7:AA9"/>
    <mergeCell ref="J7:J9"/>
    <mergeCell ref="U8:V9"/>
    <mergeCell ref="W8:X9"/>
    <mergeCell ref="A10:B10"/>
    <mergeCell ref="C10:F10"/>
    <mergeCell ref="G10:I10"/>
    <mergeCell ref="K10:L10"/>
    <mergeCell ref="M10:N10"/>
    <mergeCell ref="O10:P10"/>
    <mergeCell ref="Q10:R10"/>
    <mergeCell ref="S10:T10"/>
    <mergeCell ref="U10:V10"/>
    <mergeCell ref="W10:X10"/>
    <mergeCell ref="Y10:AA10"/>
    <mergeCell ref="AB10:AE10"/>
    <mergeCell ref="A11:B11"/>
    <mergeCell ref="C11:F11"/>
    <mergeCell ref="G11:I11"/>
    <mergeCell ref="K11:L11"/>
    <mergeCell ref="M11:N11"/>
    <mergeCell ref="O11:P11"/>
    <mergeCell ref="Q11:R11"/>
    <mergeCell ref="S11:T11"/>
    <mergeCell ref="U11:V11"/>
    <mergeCell ref="W11:X11"/>
    <mergeCell ref="Y11:AA11"/>
    <mergeCell ref="AB11:AE11"/>
    <mergeCell ref="A12:B12"/>
    <mergeCell ref="C12:F12"/>
    <mergeCell ref="G12:I12"/>
    <mergeCell ref="K12:L12"/>
    <mergeCell ref="M12:N12"/>
    <mergeCell ref="O12:P12"/>
    <mergeCell ref="Q12:R12"/>
    <mergeCell ref="S12:T12"/>
    <mergeCell ref="U12:V12"/>
    <mergeCell ref="W12:X12"/>
    <mergeCell ref="Y12:AA12"/>
    <mergeCell ref="AB12:AE12"/>
    <mergeCell ref="A13:B13"/>
    <mergeCell ref="C13:F13"/>
    <mergeCell ref="G13:I13"/>
    <mergeCell ref="K13:L13"/>
    <mergeCell ref="M13:N13"/>
    <mergeCell ref="O13:P13"/>
    <mergeCell ref="Q13:R13"/>
    <mergeCell ref="S13:T13"/>
    <mergeCell ref="U13:V13"/>
    <mergeCell ref="W13:X13"/>
    <mergeCell ref="Y13:AA13"/>
    <mergeCell ref="AB13:AE13"/>
    <mergeCell ref="A14:B14"/>
    <mergeCell ref="C14:F14"/>
    <mergeCell ref="G14:I14"/>
    <mergeCell ref="K14:L14"/>
    <mergeCell ref="M14:N14"/>
    <mergeCell ref="O14:P14"/>
    <mergeCell ref="Q14:R14"/>
    <mergeCell ref="S14:T14"/>
    <mergeCell ref="U14:V14"/>
    <mergeCell ref="W14:X14"/>
    <mergeCell ref="Y14:AA14"/>
    <mergeCell ref="AB14:AE14"/>
    <mergeCell ref="A15:B15"/>
    <mergeCell ref="C15:F15"/>
    <mergeCell ref="G15:I15"/>
    <mergeCell ref="K15:L15"/>
    <mergeCell ref="M15:N15"/>
    <mergeCell ref="O15:P15"/>
    <mergeCell ref="Q15:R15"/>
    <mergeCell ref="S15:T15"/>
    <mergeCell ref="U15:V15"/>
    <mergeCell ref="W15:X15"/>
    <mergeCell ref="Y15:AA15"/>
    <mergeCell ref="AB15:AE15"/>
    <mergeCell ref="A16:B16"/>
    <mergeCell ref="C16:F16"/>
    <mergeCell ref="G16:I16"/>
    <mergeCell ref="K16:L16"/>
    <mergeCell ref="M16:N16"/>
    <mergeCell ref="O16:P16"/>
    <mergeCell ref="Q16:R16"/>
    <mergeCell ref="S16:T16"/>
    <mergeCell ref="U16:V16"/>
    <mergeCell ref="W16:X16"/>
    <mergeCell ref="Y16:AA16"/>
    <mergeCell ref="AB16:AE16"/>
    <mergeCell ref="A17:B17"/>
    <mergeCell ref="C17:F17"/>
    <mergeCell ref="G17:I17"/>
    <mergeCell ref="K17:L17"/>
    <mergeCell ref="M17:N17"/>
    <mergeCell ref="O17:P17"/>
    <mergeCell ref="Q17:R17"/>
    <mergeCell ref="S17:T17"/>
    <mergeCell ref="U17:V17"/>
    <mergeCell ref="W17:X17"/>
    <mergeCell ref="Y17:AA17"/>
    <mergeCell ref="AB17:AE17"/>
    <mergeCell ref="A18:B18"/>
    <mergeCell ref="C18:F18"/>
    <mergeCell ref="G18:I18"/>
    <mergeCell ref="K18:L18"/>
    <mergeCell ref="M18:N18"/>
    <mergeCell ref="O18:P18"/>
    <mergeCell ref="Q18:R18"/>
    <mergeCell ref="S18:T18"/>
    <mergeCell ref="U18:V18"/>
    <mergeCell ref="W18:X18"/>
    <mergeCell ref="Y18:AA18"/>
    <mergeCell ref="AB18:AE18"/>
    <mergeCell ref="A19:B19"/>
    <mergeCell ref="C19:F19"/>
    <mergeCell ref="G19:I19"/>
    <mergeCell ref="K19:L19"/>
    <mergeCell ref="M19:N19"/>
    <mergeCell ref="O19:P19"/>
    <mergeCell ref="Q19:R19"/>
    <mergeCell ref="S19:T19"/>
    <mergeCell ref="U19:V19"/>
    <mergeCell ref="W19:X19"/>
    <mergeCell ref="Y19:AA19"/>
    <mergeCell ref="AB19:AE19"/>
    <mergeCell ref="A20:B20"/>
    <mergeCell ref="C20:F20"/>
    <mergeCell ref="G20:I20"/>
    <mergeCell ref="K20:L20"/>
    <mergeCell ref="M20:N20"/>
    <mergeCell ref="O20:P20"/>
    <mergeCell ref="Q20:R20"/>
    <mergeCell ref="S20:T20"/>
    <mergeCell ref="U20:V20"/>
    <mergeCell ref="W20:X20"/>
    <mergeCell ref="Y20:AA20"/>
    <mergeCell ref="AB20:AE20"/>
    <mergeCell ref="A21:B21"/>
    <mergeCell ref="C21:F21"/>
    <mergeCell ref="G21:I21"/>
    <mergeCell ref="K21:L21"/>
    <mergeCell ref="M21:N21"/>
    <mergeCell ref="O21:P21"/>
    <mergeCell ref="Q21:R21"/>
    <mergeCell ref="S21:T21"/>
    <mergeCell ref="U21:V21"/>
    <mergeCell ref="W21:X21"/>
    <mergeCell ref="Y21:AA21"/>
    <mergeCell ref="AB21:AE21"/>
    <mergeCell ref="A22:B22"/>
    <mergeCell ref="C22:F22"/>
    <mergeCell ref="G22:I22"/>
    <mergeCell ref="K22:L22"/>
    <mergeCell ref="M22:N22"/>
    <mergeCell ref="O22:P22"/>
    <mergeCell ref="Q22:R22"/>
    <mergeCell ref="S22:T22"/>
    <mergeCell ref="U22:V22"/>
    <mergeCell ref="W22:X22"/>
    <mergeCell ref="Y22:AA22"/>
    <mergeCell ref="AB22:AE22"/>
    <mergeCell ref="A23:B23"/>
    <mergeCell ref="C23:F23"/>
    <mergeCell ref="G23:I23"/>
    <mergeCell ref="K23:L23"/>
    <mergeCell ref="M23:N23"/>
    <mergeCell ref="O23:P23"/>
    <mergeCell ref="Q23:R23"/>
    <mergeCell ref="S23:T23"/>
    <mergeCell ref="U23:V23"/>
    <mergeCell ref="W23:X23"/>
    <mergeCell ref="Y23:AA23"/>
    <mergeCell ref="AB23:AE23"/>
    <mergeCell ref="A24:B24"/>
    <mergeCell ref="C24:F24"/>
    <mergeCell ref="G24:I24"/>
    <mergeCell ref="K24:L24"/>
    <mergeCell ref="M24:N24"/>
    <mergeCell ref="O24:P24"/>
    <mergeCell ref="Q24:R24"/>
    <mergeCell ref="S24:T24"/>
    <mergeCell ref="U24:V24"/>
    <mergeCell ref="W24:X24"/>
    <mergeCell ref="Y24:AA24"/>
    <mergeCell ref="AB24:AE24"/>
    <mergeCell ref="A25:B25"/>
    <mergeCell ref="C25:F25"/>
    <mergeCell ref="G25:I25"/>
    <mergeCell ref="K25:L25"/>
    <mergeCell ref="M25:N25"/>
    <mergeCell ref="O25:P25"/>
    <mergeCell ref="Q25:R25"/>
    <mergeCell ref="S25:T25"/>
    <mergeCell ref="U25:V25"/>
    <mergeCell ref="W25:X25"/>
    <mergeCell ref="Y25:AA25"/>
    <mergeCell ref="AB25:AE25"/>
    <mergeCell ref="A26:B26"/>
    <mergeCell ref="C26:F26"/>
    <mergeCell ref="G26:I26"/>
    <mergeCell ref="K26:L26"/>
    <mergeCell ref="M26:N26"/>
    <mergeCell ref="O26:P26"/>
    <mergeCell ref="Q26:R26"/>
    <mergeCell ref="S26:T26"/>
    <mergeCell ref="U26:V26"/>
    <mergeCell ref="W26:X26"/>
    <mergeCell ref="Y26:AA26"/>
    <mergeCell ref="AB26:AE26"/>
    <mergeCell ref="A27:B27"/>
    <mergeCell ref="C27:F27"/>
    <mergeCell ref="G27:I27"/>
    <mergeCell ref="K27:L27"/>
    <mergeCell ref="M27:N27"/>
    <mergeCell ref="O27:P27"/>
    <mergeCell ref="Q27:R27"/>
    <mergeCell ref="S27:T27"/>
    <mergeCell ref="U27:V27"/>
    <mergeCell ref="W27:X27"/>
    <mergeCell ref="Y27:AA27"/>
    <mergeCell ref="AB27:AE27"/>
    <mergeCell ref="A28:B28"/>
    <mergeCell ref="C28:F28"/>
    <mergeCell ref="G28:I28"/>
    <mergeCell ref="K28:L28"/>
    <mergeCell ref="M28:N28"/>
    <mergeCell ref="O28:P28"/>
    <mergeCell ref="Q28:R28"/>
    <mergeCell ref="S28:T28"/>
    <mergeCell ref="U28:V28"/>
    <mergeCell ref="W28:X28"/>
    <mergeCell ref="Y28:AA28"/>
    <mergeCell ref="AB28:AE28"/>
    <mergeCell ref="A29:B29"/>
    <mergeCell ref="C29:F29"/>
    <mergeCell ref="G29:I29"/>
    <mergeCell ref="K29:L29"/>
    <mergeCell ref="M29:N29"/>
    <mergeCell ref="O29:P29"/>
    <mergeCell ref="Q29:R29"/>
    <mergeCell ref="S29:T29"/>
    <mergeCell ref="U29:V29"/>
    <mergeCell ref="W29:X29"/>
    <mergeCell ref="Y29:AA29"/>
    <mergeCell ref="AB29:AE29"/>
    <mergeCell ref="A30:B30"/>
    <mergeCell ref="C30:F30"/>
    <mergeCell ref="G30:I30"/>
    <mergeCell ref="K30:L30"/>
    <mergeCell ref="M30:N30"/>
    <mergeCell ref="O30:P30"/>
    <mergeCell ref="Q30:R30"/>
    <mergeCell ref="S30:T30"/>
    <mergeCell ref="U30:V30"/>
    <mergeCell ref="W30:X30"/>
    <mergeCell ref="Y30:AA30"/>
    <mergeCell ref="AB30:AE30"/>
    <mergeCell ref="A31:B31"/>
    <mergeCell ref="C31:F31"/>
    <mergeCell ref="G31:I31"/>
    <mergeCell ref="K31:L31"/>
    <mergeCell ref="M31:N31"/>
    <mergeCell ref="O31:P31"/>
    <mergeCell ref="Q31:R31"/>
    <mergeCell ref="S31:T31"/>
    <mergeCell ref="U31:V31"/>
    <mergeCell ref="W31:X31"/>
    <mergeCell ref="Y31:AA31"/>
    <mergeCell ref="AB31:AE31"/>
    <mergeCell ref="A32:B32"/>
    <mergeCell ref="C32:F32"/>
    <mergeCell ref="G32:I32"/>
    <mergeCell ref="K32:L32"/>
    <mergeCell ref="M32:N32"/>
    <mergeCell ref="O32:P32"/>
    <mergeCell ref="Q32:R32"/>
    <mergeCell ref="S32:T32"/>
    <mergeCell ref="U32:V32"/>
    <mergeCell ref="W32:X32"/>
    <mergeCell ref="Y32:AA32"/>
    <mergeCell ref="AB32:AE32"/>
    <mergeCell ref="A33:B33"/>
    <mergeCell ref="C33:F33"/>
    <mergeCell ref="G33:I33"/>
    <mergeCell ref="K33:L33"/>
    <mergeCell ref="M33:N33"/>
    <mergeCell ref="O33:P33"/>
    <mergeCell ref="Q33:R33"/>
    <mergeCell ref="S33:T33"/>
    <mergeCell ref="U33:V33"/>
    <mergeCell ref="W33:X33"/>
    <mergeCell ref="Y33:AA33"/>
    <mergeCell ref="AB33:AE33"/>
    <mergeCell ref="A34:B34"/>
    <mergeCell ref="C34:F34"/>
    <mergeCell ref="G34:I34"/>
    <mergeCell ref="K34:L34"/>
    <mergeCell ref="M34:N34"/>
    <mergeCell ref="O34:P34"/>
    <mergeCell ref="Q34:R34"/>
    <mergeCell ref="S34:T34"/>
    <mergeCell ref="U34:V34"/>
    <mergeCell ref="W34:X34"/>
    <mergeCell ref="Y34:AA34"/>
    <mergeCell ref="AB34:AE34"/>
    <mergeCell ref="A35:B35"/>
    <mergeCell ref="C35:F35"/>
    <mergeCell ref="G35:I35"/>
    <mergeCell ref="K35:L35"/>
    <mergeCell ref="M35:N35"/>
    <mergeCell ref="O35:P35"/>
    <mergeCell ref="Q35:R35"/>
    <mergeCell ref="S35:T35"/>
    <mergeCell ref="U35:V35"/>
    <mergeCell ref="W35:X35"/>
    <mergeCell ref="Y35:AA35"/>
    <mergeCell ref="AB35:AE35"/>
    <mergeCell ref="A36:B36"/>
    <mergeCell ref="C36:F36"/>
    <mergeCell ref="G36:I36"/>
    <mergeCell ref="K36:L36"/>
    <mergeCell ref="M36:N36"/>
    <mergeCell ref="O36:P36"/>
    <mergeCell ref="Q36:R36"/>
    <mergeCell ref="S36:T36"/>
    <mergeCell ref="U36:V36"/>
    <mergeCell ref="W36:X36"/>
    <mergeCell ref="Y36:AA36"/>
    <mergeCell ref="AB36:AE36"/>
    <mergeCell ref="A37:B37"/>
    <mergeCell ref="C37:F37"/>
    <mergeCell ref="G37:I37"/>
    <mergeCell ref="K37:L37"/>
    <mergeCell ref="M37:N37"/>
    <mergeCell ref="O37:P37"/>
    <mergeCell ref="Q37:R37"/>
    <mergeCell ref="S37:T37"/>
    <mergeCell ref="U37:V37"/>
    <mergeCell ref="W37:X37"/>
    <mergeCell ref="Y37:AA37"/>
    <mergeCell ref="AB37:AE37"/>
    <mergeCell ref="A38:B38"/>
    <mergeCell ref="C38:F38"/>
    <mergeCell ref="G38:I38"/>
    <mergeCell ref="K38:L38"/>
    <mergeCell ref="M38:N38"/>
    <mergeCell ref="O38:P38"/>
    <mergeCell ref="Q38:R38"/>
    <mergeCell ref="S38:T38"/>
    <mergeCell ref="U38:V38"/>
    <mergeCell ref="W38:X38"/>
    <mergeCell ref="Y38:AA38"/>
    <mergeCell ref="AB38:AE38"/>
    <mergeCell ref="A39:B39"/>
    <mergeCell ref="C39:F39"/>
    <mergeCell ref="G39:I39"/>
    <mergeCell ref="K39:L39"/>
    <mergeCell ref="M39:N39"/>
    <mergeCell ref="O39:P39"/>
    <mergeCell ref="Q39:R39"/>
    <mergeCell ref="S39:T39"/>
    <mergeCell ref="U39:V39"/>
    <mergeCell ref="W39:X39"/>
    <mergeCell ref="Y39:AA39"/>
    <mergeCell ref="AB39:AE39"/>
    <mergeCell ref="A40:B40"/>
    <mergeCell ref="C40:F40"/>
    <mergeCell ref="G40:I40"/>
    <mergeCell ref="K40:L40"/>
    <mergeCell ref="M40:N40"/>
    <mergeCell ref="O40:P40"/>
    <mergeCell ref="Q40:R40"/>
    <mergeCell ref="S40:T40"/>
    <mergeCell ref="U40:V40"/>
    <mergeCell ref="W40:X40"/>
    <mergeCell ref="Y40:AA40"/>
    <mergeCell ref="AB40:AE40"/>
    <mergeCell ref="A41:B41"/>
    <mergeCell ref="C41:F41"/>
    <mergeCell ref="G41:I41"/>
    <mergeCell ref="K41:L41"/>
    <mergeCell ref="M41:N41"/>
    <mergeCell ref="O41:P41"/>
    <mergeCell ref="Q41:R41"/>
    <mergeCell ref="S41:T41"/>
    <mergeCell ref="U41:V41"/>
    <mergeCell ref="W41:X41"/>
    <mergeCell ref="Y41:AA41"/>
    <mergeCell ref="AB41:AE41"/>
    <mergeCell ref="A42:B42"/>
    <mergeCell ref="C42:F42"/>
    <mergeCell ref="G42:I42"/>
    <mergeCell ref="K42:L42"/>
    <mergeCell ref="M42:N42"/>
    <mergeCell ref="O42:P42"/>
    <mergeCell ref="Q42:R42"/>
    <mergeCell ref="S42:T42"/>
    <mergeCell ref="U42:V42"/>
    <mergeCell ref="W42:X42"/>
    <mergeCell ref="Y42:AA42"/>
    <mergeCell ref="AB42:AE42"/>
    <mergeCell ref="A43:B43"/>
    <mergeCell ref="C43:F43"/>
    <mergeCell ref="G43:I43"/>
    <mergeCell ref="K43:L43"/>
    <mergeCell ref="M43:N43"/>
    <mergeCell ref="O43:P43"/>
    <mergeCell ref="Q43:R43"/>
    <mergeCell ref="S43:T43"/>
    <mergeCell ref="U43:V43"/>
    <mergeCell ref="W43:X43"/>
    <mergeCell ref="Y43:AA43"/>
    <mergeCell ref="AB43:AE43"/>
    <mergeCell ref="A44:B44"/>
    <mergeCell ref="C44:F44"/>
    <mergeCell ref="G44:I44"/>
    <mergeCell ref="K44:L44"/>
    <mergeCell ref="M44:N44"/>
    <mergeCell ref="O44:P44"/>
    <mergeCell ref="Q44:R44"/>
    <mergeCell ref="S44:T44"/>
    <mergeCell ref="U44:V44"/>
    <mergeCell ref="W44:X44"/>
    <mergeCell ref="Y44:AA44"/>
    <mergeCell ref="AB44:AE44"/>
    <mergeCell ref="A45:B45"/>
    <mergeCell ref="C45:F45"/>
    <mergeCell ref="G45:I45"/>
    <mergeCell ref="K45:L45"/>
    <mergeCell ref="M45:N45"/>
    <mergeCell ref="O45:P45"/>
    <mergeCell ref="Q45:R45"/>
    <mergeCell ref="S45:T45"/>
    <mergeCell ref="U45:V45"/>
    <mergeCell ref="W45:X45"/>
    <mergeCell ref="Y45:AA45"/>
    <mergeCell ref="AB45:AE45"/>
  </mergeCells>
  <printOptions horizontalCentered="1"/>
  <pageMargins left="0.5" right="0.5" top="0.25" bottom="0.35" header="0" footer="0.35"/>
  <pageSetup orientation="landscape" horizontalDpi="300" verticalDpi="300" scale="100" fitToWidth="1" fitToHeight="0" firstPageNumber="1" useFirstPageNumber="1" copies="1"/>
  <headerFooter>
    <oddHeader>&amp;R&amp;8&amp;P of &amp;N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5"/>
  <sheetViews>
    <sheetView workbookViewId="0" zoomScale="100" zoomScaleNormal="100"/>
  </sheetViews>
  <sheetFormatPr defaultRowHeight="12.75" outlineLevelRow="0" outlineLevelCol="0" x14ac:dyDescent="0" customHeight="1"/>
  <cols>
    <col min="1" max="1" width="3.28515625" style="10" customWidth="1"/>
    <col min="2" max="2" width="29.42578125" customWidth="1"/>
    <col min="4" max="10" width="4.85546875" customWidth="1"/>
    <col min="11" max="11" width="8.5703125" style="10" customWidth="1"/>
    <col min="12" max="12" width="10.140625" style="10" customWidth="1"/>
    <col min="13" max="13" width="34.7109375" customWidth="1"/>
  </cols>
  <sheetData>
    <row r="1" ht="41.45" customHeight="1" spans="1:13" x14ac:dyDescent="0.25">
      <c r="A1" s="10"/>
      <c r="B1" s="10"/>
      <c r="C1" s="48" t="s">
        <v>76</v>
      </c>
      <c r="D1" s="48"/>
      <c r="E1" s="48"/>
      <c r="F1" s="48"/>
      <c r="G1" s="48"/>
      <c r="H1" s="48"/>
      <c r="I1" s="48"/>
      <c r="J1" s="48"/>
      <c r="K1" s="48"/>
      <c r="L1" s="48"/>
      <c r="M1" s="48"/>
    </row>
    <row r="2" ht="3.75" customHeight="1" spans="1:13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18" customHeight="1" spans="1:13" x14ac:dyDescent="0.25">
      <c r="A3" s="49" t="s">
        <v>77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50" t="s">
        <v>78</v>
      </c>
    </row>
    <row r="4" ht="18" customHeight="1" spans="1:13" x14ac:dyDescent="0.25">
      <c r="A4" s="49" t="s">
        <v>79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 t="s">
        <v>80</v>
      </c>
    </row>
    <row r="5" ht="3" customHeight="1" spans="1:13" x14ac:dyDescent="0.25">
      <c r="A5" s="10"/>
      <c r="B5" s="10"/>
      <c r="C5" s="48"/>
      <c r="D5" s="48"/>
      <c r="E5" s="48"/>
      <c r="F5" s="48"/>
      <c r="G5" s="48"/>
      <c r="H5" s="48"/>
      <c r="I5" s="48"/>
      <c r="J5" s="48"/>
      <c r="K5" s="51"/>
      <c r="L5" s="51"/>
      <c r="M5" s="48"/>
    </row>
    <row r="6" ht="15" customHeight="1" spans="1:13" s="52" customFormat="1" x14ac:dyDescent="0.25">
      <c r="A6" s="53" t="s">
        <v>81</v>
      </c>
      <c r="B6" s="54" t="s">
        <v>82</v>
      </c>
      <c r="C6" s="55" t="s">
        <v>83</v>
      </c>
      <c r="D6" s="56" t="s">
        <v>84</v>
      </c>
      <c r="E6" s="57"/>
      <c r="F6" s="57"/>
      <c r="G6" s="57"/>
      <c r="H6" s="57"/>
      <c r="I6" s="57"/>
      <c r="J6" s="58"/>
      <c r="K6" s="59" t="s">
        <v>85</v>
      </c>
      <c r="L6" s="60" t="s">
        <v>86</v>
      </c>
      <c r="M6" s="61" t="s">
        <v>24</v>
      </c>
    </row>
    <row r="7" ht="29.25" customHeight="1" spans="1:13" s="52" customFormat="1" x14ac:dyDescent="0.25">
      <c r="A7" s="62"/>
      <c r="B7" s="63"/>
      <c r="C7" s="64"/>
      <c r="D7" s="65"/>
      <c r="E7" s="66"/>
      <c r="F7" s="66"/>
      <c r="G7" s="66"/>
      <c r="H7" s="66"/>
      <c r="I7" s="66"/>
      <c r="J7" s="67"/>
      <c r="K7" s="68"/>
      <c r="L7" s="69"/>
      <c r="M7" s="70"/>
    </row>
    <row r="8" ht="24.95" customHeight="1" spans="1:13" x14ac:dyDescent="0.25">
      <c r="A8" s="71"/>
      <c r="B8" s="72"/>
      <c r="C8" s="73"/>
      <c r="D8" s="74"/>
      <c r="E8" s="75"/>
      <c r="F8" s="75"/>
      <c r="G8" s="75"/>
      <c r="H8" s="75"/>
      <c r="I8" s="75"/>
      <c r="J8" s="76"/>
      <c r="K8" s="77"/>
      <c r="L8" s="78"/>
      <c r="M8" s="79"/>
    </row>
    <row r="9" ht="24.95" customHeight="1" spans="1:13" x14ac:dyDescent="0.25">
      <c r="A9" s="80"/>
      <c r="B9" s="81"/>
      <c r="C9" s="82"/>
      <c r="D9" s="83"/>
      <c r="E9" s="84"/>
      <c r="F9" s="84"/>
      <c r="G9" s="84"/>
      <c r="H9" s="84"/>
      <c r="I9" s="84"/>
      <c r="J9" s="85"/>
      <c r="K9" s="86"/>
      <c r="L9" s="87"/>
      <c r="M9" s="88"/>
    </row>
    <row r="10" ht="24.95" customHeight="1" spans="1:13" x14ac:dyDescent="0.25">
      <c r="A10" s="80"/>
      <c r="B10" s="81"/>
      <c r="C10" s="82"/>
      <c r="D10" s="83"/>
      <c r="E10" s="84"/>
      <c r="F10" s="84"/>
      <c r="G10" s="84"/>
      <c r="H10" s="84"/>
      <c r="I10" s="84"/>
      <c r="J10" s="85"/>
      <c r="K10" s="86"/>
      <c r="L10" s="87"/>
      <c r="M10" s="88"/>
    </row>
    <row r="11" ht="24.95" customHeight="1" spans="1:13" x14ac:dyDescent="0.25">
      <c r="A11" s="80"/>
      <c r="B11" s="81"/>
      <c r="C11" s="82"/>
      <c r="D11" s="83"/>
      <c r="E11" s="84"/>
      <c r="F11" s="84"/>
      <c r="G11" s="84"/>
      <c r="H11" s="84"/>
      <c r="I11" s="84"/>
      <c r="J11" s="85"/>
      <c r="K11" s="86"/>
      <c r="L11" s="87"/>
      <c r="M11" s="88"/>
    </row>
    <row r="12" ht="24.95" customHeight="1" spans="1:13" x14ac:dyDescent="0.25">
      <c r="A12" s="80"/>
      <c r="B12" s="81"/>
      <c r="C12" s="82"/>
      <c r="D12" s="83"/>
      <c r="E12" s="84"/>
      <c r="F12" s="84"/>
      <c r="G12" s="84"/>
      <c r="H12" s="84"/>
      <c r="I12" s="84"/>
      <c r="J12" s="85"/>
      <c r="K12" s="86"/>
      <c r="L12" s="87"/>
      <c r="M12" s="88"/>
    </row>
    <row r="13" ht="24.95" customHeight="1" spans="1:13" x14ac:dyDescent="0.25">
      <c r="A13" s="80"/>
      <c r="B13" s="81"/>
      <c r="C13" s="82"/>
      <c r="D13" s="83"/>
      <c r="E13" s="84"/>
      <c r="F13" s="84"/>
      <c r="G13" s="84"/>
      <c r="H13" s="84"/>
      <c r="I13" s="84"/>
      <c r="J13" s="85"/>
      <c r="K13" s="86"/>
      <c r="L13" s="87"/>
      <c r="M13" s="88"/>
    </row>
    <row r="14" ht="24.95" customHeight="1" spans="1:13" x14ac:dyDescent="0.25">
      <c r="A14" s="80"/>
      <c r="B14" s="81"/>
      <c r="C14" s="82"/>
      <c r="D14" s="83"/>
      <c r="E14" s="84"/>
      <c r="F14" s="84"/>
      <c r="G14" s="84"/>
      <c r="H14" s="84"/>
      <c r="I14" s="84"/>
      <c r="J14" s="85"/>
      <c r="K14" s="86"/>
      <c r="L14" s="87"/>
      <c r="M14" s="88"/>
    </row>
    <row r="15" ht="24.95" customHeight="1" spans="1:13" x14ac:dyDescent="0.25">
      <c r="A15" s="80"/>
      <c r="B15" s="81"/>
      <c r="C15" s="82"/>
      <c r="D15" s="83"/>
      <c r="E15" s="84"/>
      <c r="F15" s="84"/>
      <c r="G15" s="84"/>
      <c r="H15" s="84"/>
      <c r="I15" s="84"/>
      <c r="J15" s="85"/>
      <c r="K15" s="86"/>
      <c r="L15" s="87"/>
      <c r="M15" s="88"/>
    </row>
    <row r="16" ht="24.95" customHeight="1" spans="1:13" x14ac:dyDescent="0.25">
      <c r="A16" s="80"/>
      <c r="B16" s="81"/>
      <c r="C16" s="82"/>
      <c r="D16" s="83"/>
      <c r="E16" s="84"/>
      <c r="F16" s="84"/>
      <c r="G16" s="84"/>
      <c r="H16" s="84"/>
      <c r="I16" s="84"/>
      <c r="J16" s="85"/>
      <c r="K16" s="86"/>
      <c r="L16" s="87"/>
      <c r="M16" s="88"/>
    </row>
    <row r="17" ht="24.95" customHeight="1" spans="1:13" x14ac:dyDescent="0.25">
      <c r="A17" s="80"/>
      <c r="B17" s="81"/>
      <c r="C17" s="82"/>
      <c r="D17" s="83"/>
      <c r="E17" s="84"/>
      <c r="F17" s="84"/>
      <c r="G17" s="84"/>
      <c r="H17" s="84"/>
      <c r="I17" s="84"/>
      <c r="J17" s="85"/>
      <c r="K17" s="86"/>
      <c r="L17" s="87"/>
      <c r="M17" s="88"/>
    </row>
    <row r="18" ht="24.95" customHeight="1" spans="1:13" x14ac:dyDescent="0.25">
      <c r="A18" s="80"/>
      <c r="B18" s="81"/>
      <c r="C18" s="82"/>
      <c r="D18" s="83"/>
      <c r="E18" s="84"/>
      <c r="F18" s="84"/>
      <c r="G18" s="84"/>
      <c r="H18" s="84"/>
      <c r="I18" s="84"/>
      <c r="J18" s="85"/>
      <c r="K18" s="86"/>
      <c r="L18" s="87"/>
      <c r="M18" s="88"/>
    </row>
    <row r="19" ht="24.95" customHeight="1" spans="1:13" x14ac:dyDescent="0.25">
      <c r="A19" s="80"/>
      <c r="B19" s="81"/>
      <c r="C19" s="82"/>
      <c r="D19" s="83"/>
      <c r="E19" s="84"/>
      <c r="F19" s="84"/>
      <c r="G19" s="84"/>
      <c r="H19" s="84"/>
      <c r="I19" s="84"/>
      <c r="J19" s="85"/>
      <c r="K19" s="86"/>
      <c r="L19" s="87"/>
      <c r="M19" s="88"/>
    </row>
    <row r="20" ht="24.95" customHeight="1" spans="1:13" x14ac:dyDescent="0.25">
      <c r="A20" s="80"/>
      <c r="B20" s="89"/>
      <c r="C20" s="82"/>
      <c r="D20" s="83"/>
      <c r="E20" s="84"/>
      <c r="F20" s="84"/>
      <c r="G20" s="84"/>
      <c r="H20" s="84"/>
      <c r="I20" s="84"/>
      <c r="J20" s="85"/>
      <c r="K20" s="86"/>
      <c r="L20" s="87"/>
      <c r="M20" s="88"/>
    </row>
    <row r="21" ht="24.95" customHeight="1" spans="1:13" x14ac:dyDescent="0.25">
      <c r="A21" s="90"/>
      <c r="B21" s="91"/>
      <c r="C21" s="92"/>
      <c r="D21" s="93"/>
      <c r="E21" s="94"/>
      <c r="F21" s="94"/>
      <c r="G21" s="94"/>
      <c r="H21" s="94"/>
      <c r="I21" s="94"/>
      <c r="J21" s="95"/>
      <c r="K21" s="96"/>
      <c r="L21" s="97"/>
      <c r="M21" s="98"/>
    </row>
    <row r="22" ht="6" customHeight="1" spans="12:12" x14ac:dyDescent="0.25">
      <c r="L22" s="99"/>
    </row>
    <row r="23" spans="2:13" x14ac:dyDescent="0.25">
      <c r="B23" t="s">
        <v>87</v>
      </c>
      <c r="D23" t="s">
        <v>88</v>
      </c>
      <c r="H23" t="s">
        <v>89</v>
      </c>
      <c r="L23" s="99"/>
      <c r="M23" t="s">
        <v>90</v>
      </c>
    </row>
    <row r="24" spans="4:12" x14ac:dyDescent="0.25">
      <c r="D24" t="s">
        <v>91</v>
      </c>
      <c r="L24" s="99"/>
    </row>
    <row r="25" ht="3" customHeight="1" spans="12:12" x14ac:dyDescent="0.25">
      <c r="L25" s="99"/>
    </row>
    <row r="26" ht="18.75" customHeight="1" spans="2:12" x14ac:dyDescent="0.25">
      <c r="B26" s="100" t="s">
        <v>92</v>
      </c>
      <c r="L26" s="99"/>
    </row>
    <row r="27" spans="12:12" x14ac:dyDescent="0.25">
      <c r="L27" s="99"/>
    </row>
    <row r="28" spans="12:12" x14ac:dyDescent="0.25">
      <c r="L28" s="99"/>
    </row>
    <row r="29" spans="12:12" x14ac:dyDescent="0.25">
      <c r="L29" s="99"/>
    </row>
    <row r="30" spans="12:12" x14ac:dyDescent="0.25">
      <c r="L30" s="99"/>
    </row>
    <row r="31" spans="12:12" x14ac:dyDescent="0.25">
      <c r="L31" s="99"/>
    </row>
    <row r="32" spans="12:12" x14ac:dyDescent="0.25">
      <c r="L32" s="99"/>
    </row>
    <row r="33" spans="12:12" x14ac:dyDescent="0.25">
      <c r="L33" s="99"/>
    </row>
    <row r="34" spans="12:12" x14ac:dyDescent="0.25">
      <c r="L34" s="99"/>
    </row>
    <row r="35" spans="12:12" x14ac:dyDescent="0.25">
      <c r="L35" s="99"/>
    </row>
    <row r="36" spans="12:12" x14ac:dyDescent="0.25">
      <c r="L36" s="99"/>
    </row>
    <row r="37" spans="12:12" x14ac:dyDescent="0.25">
      <c r="L37" s="99"/>
    </row>
    <row r="38" spans="12:12" x14ac:dyDescent="0.25">
      <c r="L38" s="99"/>
    </row>
    <row r="39" spans="12:12" x14ac:dyDescent="0.25">
      <c r="L39" s="99"/>
    </row>
    <row r="40" spans="12:12" x14ac:dyDescent="0.25">
      <c r="L40" s="99"/>
    </row>
    <row r="41" spans="12:12" x14ac:dyDescent="0.25">
      <c r="L41" s="99"/>
    </row>
    <row r="42" spans="12:12" x14ac:dyDescent="0.25">
      <c r="L42" s="99"/>
    </row>
    <row r="43" spans="12:12" x14ac:dyDescent="0.25">
      <c r="L43" s="99"/>
    </row>
    <row r="44" spans="12:12" x14ac:dyDescent="0.25">
      <c r="L44" s="99"/>
    </row>
    <row r="45" spans="12:12" x14ac:dyDescent="0.25">
      <c r="L45" s="99"/>
    </row>
    <row r="46" spans="12:12" x14ac:dyDescent="0.25">
      <c r="L46" s="99"/>
    </row>
    <row r="47" spans="12:12" x14ac:dyDescent="0.25">
      <c r="L47" s="99"/>
    </row>
    <row r="48" spans="12:12" x14ac:dyDescent="0.25">
      <c r="L48" s="99"/>
    </row>
    <row r="49" spans="12:12" x14ac:dyDescent="0.25">
      <c r="L49" s="99"/>
    </row>
    <row r="50" spans="12:12" x14ac:dyDescent="0.25">
      <c r="L50" s="99"/>
    </row>
    <row r="51" spans="12:12" x14ac:dyDescent="0.25">
      <c r="L51" s="99"/>
    </row>
    <row r="52" spans="12:12" x14ac:dyDescent="0.25">
      <c r="L52" s="99"/>
    </row>
    <row r="53" spans="12:12" x14ac:dyDescent="0.25">
      <c r="L53" s="99"/>
    </row>
    <row r="54" spans="12:12" x14ac:dyDescent="0.25">
      <c r="L54" s="99"/>
    </row>
    <row r="55" spans="12:12" x14ac:dyDescent="0.25">
      <c r="L55" s="99"/>
    </row>
    <row r="56" spans="12:12" x14ac:dyDescent="0.25">
      <c r="L56" s="99"/>
    </row>
    <row r="57" spans="12:12" x14ac:dyDescent="0.25">
      <c r="L57" s="99"/>
    </row>
    <row r="58" spans="12:12" x14ac:dyDescent="0.25">
      <c r="L58" s="99"/>
    </row>
    <row r="59" spans="12:12" x14ac:dyDescent="0.25">
      <c r="L59" s="99"/>
    </row>
    <row r="60" spans="12:12" x14ac:dyDescent="0.25">
      <c r="L60" s="99"/>
    </row>
    <row r="61" spans="12:12" x14ac:dyDescent="0.25">
      <c r="L61" s="99"/>
    </row>
    <row r="62" spans="12:12" x14ac:dyDescent="0.25">
      <c r="L62" s="99"/>
    </row>
    <row r="63" spans="12:12" x14ac:dyDescent="0.25">
      <c r="L63" s="99"/>
    </row>
    <row r="64" spans="12:12" x14ac:dyDescent="0.25">
      <c r="L64" s="99"/>
    </row>
    <row r="65" spans="12:12" x14ac:dyDescent="0.25">
      <c r="L65" s="99"/>
    </row>
    <row r="66" spans="12:12" x14ac:dyDescent="0.25">
      <c r="L66" s="99"/>
    </row>
    <row r="67" spans="12:12" x14ac:dyDescent="0.25">
      <c r="L67" s="99"/>
    </row>
    <row r="68" spans="12:12" x14ac:dyDescent="0.25">
      <c r="L68" s="99"/>
    </row>
    <row r="69" spans="12:12" x14ac:dyDescent="0.25">
      <c r="L69" s="99"/>
    </row>
    <row r="70" spans="12:12" x14ac:dyDescent="0.25">
      <c r="L70" s="99"/>
    </row>
    <row r="71" spans="12:12" x14ac:dyDescent="0.25">
      <c r="L71" s="99"/>
    </row>
    <row r="72" spans="12:12" x14ac:dyDescent="0.25">
      <c r="L72" s="99"/>
    </row>
    <row r="73" spans="12:12" x14ac:dyDescent="0.25">
      <c r="L73" s="99"/>
    </row>
    <row r="74" spans="12:12" x14ac:dyDescent="0.25">
      <c r="L74" s="99"/>
    </row>
    <row r="75" spans="12:12" x14ac:dyDescent="0.25">
      <c r="L75" s="99"/>
    </row>
  </sheetData>
  <mergeCells count="12">
    <mergeCell ref="A1:B1"/>
    <mergeCell ref="C1:M1"/>
    <mergeCell ref="A2:M2"/>
    <mergeCell ref="A3:L3"/>
    <mergeCell ref="A4:L4"/>
    <mergeCell ref="D6:J6"/>
    <mergeCell ref="A6:A7"/>
    <mergeCell ref="B6:B7"/>
    <mergeCell ref="C6:C7"/>
    <mergeCell ref="K6:K7"/>
    <mergeCell ref="L6:L7"/>
    <mergeCell ref="M6:M7"/>
  </mergeCells>
  <pageMargins left="0.5" right="0.5" top="0.25" bottom="0.35" header="0.25" footer="0.35"/>
  <pageSetup orientation="landscape" horizontalDpi="300" verticalDpi="300" scale="100" fitToWidth="1" fitToHeight="0" firstPageNumber="1" useFirstPageNumber="1" copies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workbookViewId="0" zoomScale="100" zoomScaleNormal="100"/>
  </sheetViews>
  <sheetFormatPr defaultRowHeight="12.75" outlineLevelRow="0" outlineLevelCol="0" x14ac:dyDescent="0" customHeight="1"/>
  <cols>
    <col min="1" max="1" width="4.42578125" style="14" customWidth="1"/>
    <col min="5" max="5" width="10" customWidth="1"/>
    <col min="9" max="9" width="48.7109375" customWidth="1"/>
  </cols>
  <sheetData>
    <row r="1" ht="20.25" customHeight="1" spans="1:5" x14ac:dyDescent="0.25">
      <c r="A1" s="15"/>
      <c r="B1" s="16"/>
      <c r="C1" s="17" t="s">
        <v>15</v>
      </c>
      <c r="D1" s="18"/>
      <c r="E1" s="18"/>
    </row>
    <row r="2" spans="1:3" x14ac:dyDescent="0.25">
      <c r="A2" s="15"/>
      <c r="B2" s="19"/>
      <c r="C2" s="19"/>
    </row>
    <row r="3" ht="13.5" customHeight="1" x14ac:dyDescent="0.25"/>
    <row r="4" ht="15.75" customHeight="1" spans="1:15" x14ac:dyDescent="0.25">
      <c r="A4" s="20" t="s">
        <v>16</v>
      </c>
      <c r="B4" s="21"/>
      <c r="C4" s="21"/>
      <c r="D4" s="22" t="str">
        <f>Cover!C10</f>
        <v> </v>
      </c>
      <c r="E4" s="22"/>
      <c r="F4" s="22"/>
      <c r="G4" s="22"/>
      <c r="H4" s="22"/>
      <c r="I4" s="23"/>
      <c r="O4" t="s">
        <v>1</v>
      </c>
    </row>
    <row r="5" spans="1:15" x14ac:dyDescent="0.25">
      <c r="A5" s="15" t="s">
        <v>1</v>
      </c>
      <c r="B5" s="19"/>
      <c r="C5" s="19"/>
      <c r="D5" s="19"/>
      <c r="E5" s="19"/>
      <c r="F5" s="19"/>
      <c r="G5" s="19"/>
      <c r="H5" s="19" t="s">
        <v>1</v>
      </c>
      <c r="I5" s="24"/>
      <c r="O5" t="s">
        <v>1</v>
      </c>
    </row>
    <row r="6" ht="15.75" customHeight="1" spans="1:9" x14ac:dyDescent="0.25">
      <c r="A6" s="25" t="s">
        <v>17</v>
      </c>
      <c r="B6" s="26"/>
      <c r="C6" s="27"/>
      <c r="D6" s="28"/>
      <c r="E6" s="28"/>
      <c r="F6" s="28"/>
      <c r="G6" s="28"/>
      <c r="H6" s="28"/>
      <c r="I6" s="29"/>
    </row>
    <row r="7" ht="13.15" customHeight="1" spans="1:9" x14ac:dyDescent="0.25">
      <c r="A7" s="30"/>
      <c r="B7" s="30"/>
      <c r="C7" s="27"/>
      <c r="D7" s="31"/>
      <c r="E7" s="31"/>
      <c r="F7" s="31"/>
      <c r="G7" s="31"/>
      <c r="H7" s="31"/>
      <c r="I7" s="32"/>
    </row>
    <row r="8" ht="15.75" customHeight="1" spans="1:15" x14ac:dyDescent="0.25">
      <c r="A8" s="25" t="s">
        <v>18</v>
      </c>
      <c r="B8" s="26"/>
      <c r="C8" s="19"/>
      <c r="D8" s="33" t="s">
        <v>1</v>
      </c>
      <c r="E8" s="33"/>
      <c r="F8" s="33"/>
      <c r="G8" s="33"/>
      <c r="H8" s="33"/>
      <c r="I8" s="34"/>
      <c r="O8" t="s">
        <v>1</v>
      </c>
    </row>
    <row r="9" ht="13.15" customHeight="1" spans="1:9" x14ac:dyDescent="0.25">
      <c r="A9" s="35"/>
      <c r="B9" s="28"/>
      <c r="C9" s="28"/>
      <c r="D9" s="28"/>
      <c r="E9" s="28"/>
      <c r="F9" s="28"/>
      <c r="G9" s="28"/>
      <c r="H9" s="28"/>
      <c r="I9" s="29"/>
    </row>
    <row r="10" ht="13.5" customHeight="1" spans="1:9" x14ac:dyDescent="0.25">
      <c r="A10" s="36" t="s">
        <v>19</v>
      </c>
      <c r="B10" s="37"/>
      <c r="C10" s="37"/>
      <c r="D10" s="38"/>
      <c r="E10" s="38"/>
      <c r="F10" s="38"/>
      <c r="G10" s="38"/>
      <c r="H10" s="38"/>
      <c r="I10" s="39"/>
    </row>
    <row r="11" spans="1:19" x14ac:dyDescent="0.25">
      <c r="A11" s="40" t="s">
        <v>20</v>
      </c>
      <c r="B11" s="19"/>
      <c r="C11" s="19"/>
      <c r="D11" s="19"/>
      <c r="E11" s="19"/>
      <c r="F11" s="41" t="s">
        <v>21</v>
      </c>
      <c r="G11" s="41" t="s">
        <v>22</v>
      </c>
      <c r="H11" s="41" t="s">
        <v>23</v>
      </c>
      <c r="I11" s="24" t="s">
        <v>24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x14ac:dyDescent="0.25">
      <c r="A12" s="40"/>
      <c r="B12" s="19"/>
      <c r="C12" s="19"/>
      <c r="D12" s="19"/>
      <c r="E12" s="19"/>
      <c r="F12" s="19"/>
      <c r="G12" s="19"/>
      <c r="H12" s="19"/>
      <c r="I12" s="24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ht="25.5" customHeight="1" spans="1:19" x14ac:dyDescent="0.25">
      <c r="A13" s="40" t="s">
        <v>25</v>
      </c>
      <c r="B13" s="19" t="s">
        <v>26</v>
      </c>
      <c r="C13" s="19"/>
      <c r="D13" s="19"/>
      <c r="E13" s="19"/>
      <c r="F13" s="42" t="s">
        <v>27</v>
      </c>
      <c r="G13" s="43"/>
      <c r="H13" s="43"/>
      <c r="I13" s="44" t="s">
        <v>28</v>
      </c>
      <c r="S13" s="19"/>
    </row>
    <row r="14" ht="25.5" customHeight="1" spans="1:19" x14ac:dyDescent="0.25">
      <c r="A14" s="40" t="s">
        <v>29</v>
      </c>
      <c r="B14" s="19" t="s">
        <v>30</v>
      </c>
      <c r="C14" s="19"/>
      <c r="D14" s="19"/>
      <c r="E14" s="19"/>
      <c r="F14" s="45"/>
      <c r="G14" s="43"/>
      <c r="H14" s="43"/>
      <c r="I14" s="46" t="s">
        <v>31</v>
      </c>
      <c r="S14" s="19"/>
    </row>
    <row r="15" ht="25.5" customHeight="1" spans="1:19" x14ac:dyDescent="0.25">
      <c r="A15" s="40" t="s">
        <v>32</v>
      </c>
      <c r="B15" s="19" t="s">
        <v>33</v>
      </c>
      <c r="C15" s="19"/>
      <c r="D15" s="19"/>
      <c r="E15" s="19"/>
      <c r="F15" s="45"/>
      <c r="G15" s="43"/>
      <c r="H15" s="43"/>
      <c r="I15" s="46" t="s">
        <v>34</v>
      </c>
      <c r="S15" s="19"/>
    </row>
    <row r="16" spans="1:19" x14ac:dyDescent="0.25">
      <c r="A16" s="40" t="s">
        <v>35</v>
      </c>
      <c r="B16" s="19" t="s">
        <v>36</v>
      </c>
      <c r="C16" s="19"/>
      <c r="D16" s="19"/>
      <c r="E16" s="19"/>
      <c r="F16" s="45"/>
      <c r="G16" s="43"/>
      <c r="H16" s="43"/>
      <c r="I16" s="46" t="s">
        <v>37</v>
      </c>
      <c r="S16" s="19"/>
    </row>
    <row r="17" spans="1:19" x14ac:dyDescent="0.25">
      <c r="A17" s="40" t="s">
        <v>38</v>
      </c>
      <c r="B17" s="19" t="s">
        <v>39</v>
      </c>
      <c r="C17" s="19"/>
      <c r="D17" s="19"/>
      <c r="E17" s="19"/>
      <c r="F17" s="42" t="s">
        <v>27</v>
      </c>
      <c r="G17" s="43"/>
      <c r="H17" s="43"/>
      <c r="I17" s="44" t="s">
        <v>40</v>
      </c>
      <c r="S17" s="19"/>
    </row>
    <row r="18" spans="1:19" x14ac:dyDescent="0.25">
      <c r="A18" s="40" t="s">
        <v>41</v>
      </c>
      <c r="B18" s="19" t="s">
        <v>42</v>
      </c>
      <c r="C18" s="19"/>
      <c r="D18" s="19"/>
      <c r="E18" s="19"/>
      <c r="F18" s="42" t="s">
        <v>27</v>
      </c>
      <c r="G18" s="43"/>
      <c r="H18" s="43"/>
      <c r="I18" s="44" t="s">
        <v>40</v>
      </c>
      <c r="S18" s="19"/>
    </row>
    <row r="19" ht="25.5" customHeight="1" spans="1:19" x14ac:dyDescent="0.25">
      <c r="A19" s="40" t="s">
        <v>43</v>
      </c>
      <c r="B19" s="19" t="s">
        <v>44</v>
      </c>
      <c r="C19" s="19"/>
      <c r="D19" s="19"/>
      <c r="E19" s="19"/>
      <c r="F19" s="42" t="s">
        <v>27</v>
      </c>
      <c r="G19" s="43"/>
      <c r="H19" s="43"/>
      <c r="I19" s="44" t="s">
        <v>45</v>
      </c>
      <c r="S19" s="19"/>
    </row>
    <row r="20" ht="25.5" customHeight="1" spans="1:19" x14ac:dyDescent="0.25">
      <c r="A20" s="40" t="s">
        <v>46</v>
      </c>
      <c r="B20" s="19" t="s">
        <v>47</v>
      </c>
      <c r="C20" s="19"/>
      <c r="D20" s="19"/>
      <c r="E20" s="19"/>
      <c r="F20" s="42"/>
      <c r="G20" s="43"/>
      <c r="H20" s="43"/>
      <c r="I20" s="46" t="s">
        <v>48</v>
      </c>
      <c r="S20" s="19"/>
    </row>
    <row r="21" ht="25.5" customHeight="1" spans="1:19" x14ac:dyDescent="0.25">
      <c r="A21" s="40" t="s">
        <v>49</v>
      </c>
      <c r="B21" s="19" t="s">
        <v>50</v>
      </c>
      <c r="C21" s="19"/>
      <c r="D21" s="19"/>
      <c r="E21" s="19"/>
      <c r="F21" s="42" t="s">
        <v>27</v>
      </c>
      <c r="G21" s="43"/>
      <c r="H21" s="43"/>
      <c r="I21" s="44" t="s">
        <v>51</v>
      </c>
      <c r="S21" s="19"/>
    </row>
    <row r="22" ht="38.25" customHeight="1" spans="1:19" x14ac:dyDescent="0.25">
      <c r="A22" s="40" t="s">
        <v>52</v>
      </c>
      <c r="B22" s="19" t="s">
        <v>53</v>
      </c>
      <c r="C22" s="19"/>
      <c r="D22" s="19"/>
      <c r="E22" s="19"/>
      <c r="F22" s="42" t="s">
        <v>27</v>
      </c>
      <c r="G22" s="43"/>
      <c r="H22" s="43"/>
      <c r="I22" s="44" t="s">
        <v>54</v>
      </c>
      <c r="S22" s="19"/>
    </row>
    <row r="23" ht="25.5" customHeight="1" spans="1:19" x14ac:dyDescent="0.25">
      <c r="A23" s="40" t="s">
        <v>55</v>
      </c>
      <c r="B23" s="19" t="s">
        <v>56</v>
      </c>
      <c r="C23" s="19"/>
      <c r="D23" s="19"/>
      <c r="E23" s="19"/>
      <c r="F23" s="42"/>
      <c r="G23" s="43"/>
      <c r="H23" s="43"/>
      <c r="I23" s="46" t="s">
        <v>48</v>
      </c>
      <c r="S23" s="19"/>
    </row>
    <row r="24" spans="1:19" x14ac:dyDescent="0.25">
      <c r="A24" s="40" t="s">
        <v>57</v>
      </c>
      <c r="B24" s="19" t="s">
        <v>58</v>
      </c>
      <c r="C24" s="19"/>
      <c r="D24" s="19"/>
      <c r="E24" s="19"/>
      <c r="F24" s="42" t="s">
        <v>27</v>
      </c>
      <c r="G24" s="43"/>
      <c r="H24" s="43"/>
      <c r="I24" s="44" t="s">
        <v>40</v>
      </c>
      <c r="S24" s="19"/>
    </row>
    <row r="25" ht="25.5" customHeight="1" spans="1:19" x14ac:dyDescent="0.25">
      <c r="A25" s="40" t="s">
        <v>59</v>
      </c>
      <c r="B25" s="19" t="s">
        <v>60</v>
      </c>
      <c r="C25" s="19"/>
      <c r="D25" s="19"/>
      <c r="E25" s="19"/>
      <c r="F25" s="42"/>
      <c r="G25" s="43"/>
      <c r="H25" s="43"/>
      <c r="I25" s="46" t="s">
        <v>61</v>
      </c>
      <c r="S25" s="19"/>
    </row>
    <row r="26" spans="1:19" x14ac:dyDescent="0.25">
      <c r="A26" s="40" t="s">
        <v>62</v>
      </c>
      <c r="B26" s="19" t="s">
        <v>63</v>
      </c>
      <c r="C26" s="19"/>
      <c r="D26" s="19"/>
      <c r="E26" s="19"/>
      <c r="F26" s="42" t="s">
        <v>27</v>
      </c>
      <c r="G26" s="43"/>
      <c r="H26" s="43"/>
      <c r="I26" s="44" t="s">
        <v>64</v>
      </c>
      <c r="S26" s="19"/>
    </row>
    <row r="27" spans="1:19" x14ac:dyDescent="0.25">
      <c r="A27" s="40" t="s">
        <v>65</v>
      </c>
      <c r="B27" s="19" t="s">
        <v>66</v>
      </c>
      <c r="C27" s="19"/>
      <c r="D27" s="19"/>
      <c r="E27" s="19"/>
      <c r="F27" s="42" t="s">
        <v>27</v>
      </c>
      <c r="G27" s="43"/>
      <c r="H27" s="43"/>
      <c r="I27" s="44" t="s">
        <v>67</v>
      </c>
      <c r="S27" s="19"/>
    </row>
    <row r="28" ht="25.5" customHeight="1" spans="1:19" x14ac:dyDescent="0.25">
      <c r="A28" s="40" t="s">
        <v>68</v>
      </c>
      <c r="B28" s="19" t="s">
        <v>69</v>
      </c>
      <c r="C28" s="19"/>
      <c r="D28" s="19"/>
      <c r="E28" s="19"/>
      <c r="F28" s="42"/>
      <c r="G28" s="43"/>
      <c r="H28" s="43"/>
      <c r="I28" s="46" t="s">
        <v>70</v>
      </c>
      <c r="S28" s="19"/>
    </row>
    <row r="29" ht="25.5" customHeight="1" spans="1:19" x14ac:dyDescent="0.25">
      <c r="A29" s="40" t="s">
        <v>71</v>
      </c>
      <c r="B29" s="19" t="s">
        <v>72</v>
      </c>
      <c r="C29" s="19"/>
      <c r="D29" s="19"/>
      <c r="E29" s="19"/>
      <c r="F29" s="42"/>
      <c r="G29" s="43"/>
      <c r="H29" s="43"/>
      <c r="I29" s="46" t="s">
        <v>73</v>
      </c>
      <c r="S29" s="19"/>
    </row>
    <row r="30" spans="1:19" x14ac:dyDescent="0.25">
      <c r="A30" s="40" t="s">
        <v>74</v>
      </c>
      <c r="B30" s="19" t="s">
        <v>75</v>
      </c>
      <c r="C30" s="19"/>
      <c r="D30" s="19"/>
      <c r="E30" s="19"/>
      <c r="F30" s="42" t="s">
        <v>27</v>
      </c>
      <c r="G30" s="43"/>
      <c r="H30" s="43"/>
      <c r="I30" s="44" t="s">
        <v>40</v>
      </c>
      <c r="S30" s="19"/>
    </row>
    <row r="31" ht="13.5" customHeight="1" spans="1:19" x14ac:dyDescent="0.25">
      <c r="A31" s="36"/>
      <c r="B31" s="37"/>
      <c r="C31" s="37"/>
      <c r="D31" s="37"/>
      <c r="E31" s="37"/>
      <c r="F31" s="37"/>
      <c r="G31" s="37"/>
      <c r="H31" s="37"/>
      <c r="I31" s="47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19" x14ac:dyDescent="0.25">
      <c r="A32" s="1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x14ac:dyDescent="0.25">
      <c r="A33" s="1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</sheetData>
  <mergeCells count="8">
    <mergeCell ref="A4:C4"/>
    <mergeCell ref="D4:I4"/>
    <mergeCell ref="A6:B6"/>
    <mergeCell ref="D6:I6"/>
    <mergeCell ref="A8:B8"/>
    <mergeCell ref="D8:I8"/>
    <mergeCell ref="B9:I9"/>
    <mergeCell ref="D10:I10"/>
  </mergeCells>
  <printOptions horizontalCentered="1"/>
  <pageMargins left="0.25" right="0.25" top="0.5" bottom="0.5" header="0.5" footer="0.5"/>
  <pageSetup orientation="landscape" horizontalDpi="4294967295" verticalDpi="4294967295" scale="84" fitToWidth="1" fitToHeight="1" firstPageNumber="1" useFirstPageNumber="1" copies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workbookViewId="0" zoomScale="100" zoomScaleNormal="100"/>
  </sheetViews>
  <sheetFormatPr defaultRowHeight="12.75" outlineLevelRow="0" outlineLevelCol="0" x14ac:dyDescent="0" customHeight="1"/>
  <sheetData>
    <row r="1" ht="18" customHeight="1" spans="1:10" x14ac:dyDescent="0.25">
      <c r="A1" s="232" t="s">
        <v>203</v>
      </c>
      <c r="B1" s="4"/>
      <c r="C1" s="4"/>
      <c r="D1" s="4"/>
      <c r="E1" s="4"/>
      <c r="F1" s="4"/>
      <c r="G1" s="4"/>
      <c r="H1" s="4"/>
      <c r="I1" s="4"/>
      <c r="J1" s="4"/>
    </row>
    <row r="2" ht="18" customHeight="1" spans="1:10" x14ac:dyDescent="0.25">
      <c r="A2" s="232" t="s">
        <v>204</v>
      </c>
      <c r="B2" s="4"/>
      <c r="C2" s="4"/>
      <c r="D2" s="4"/>
      <c r="E2" s="4"/>
      <c r="F2" s="4"/>
      <c r="G2" s="4"/>
      <c r="H2" s="4"/>
      <c r="I2" s="4"/>
      <c r="J2" s="4"/>
    </row>
    <row r="4" spans="1:12" x14ac:dyDescent="0.25">
      <c r="A4" s="233" t="s">
        <v>205</v>
      </c>
      <c r="B4" s="234"/>
      <c r="C4" s="234"/>
      <c r="D4" s="235"/>
      <c r="E4" s="233" t="s">
        <v>206</v>
      </c>
      <c r="F4" s="234"/>
      <c r="G4" s="235"/>
      <c r="H4" s="233" t="s">
        <v>207</v>
      </c>
      <c r="I4" s="234"/>
      <c r="J4" s="235"/>
      <c r="K4" s="236"/>
      <c r="L4" s="236"/>
    </row>
    <row r="5" spans="1:12" x14ac:dyDescent="0.25">
      <c r="A5" s="237" t="str">
        <f>[1]INTRO!$C$9</f>
        <v>NUMBER</v>
      </c>
      <c r="B5" s="238"/>
      <c r="C5" s="238"/>
      <c r="D5" s="239"/>
      <c r="E5" s="240"/>
      <c r="F5" s="238"/>
      <c r="G5" s="239"/>
      <c r="H5" s="240"/>
      <c r="I5" s="238"/>
      <c r="J5" s="239"/>
      <c r="K5" s="241"/>
      <c r="L5" s="241"/>
    </row>
    <row r="6" spans="1:12" x14ac:dyDescent="0.25">
      <c r="A6" s="233" t="s">
        <v>208</v>
      </c>
      <c r="B6" s="234"/>
      <c r="C6" s="234"/>
      <c r="D6" s="235"/>
      <c r="E6" s="233" t="s">
        <v>209</v>
      </c>
      <c r="F6" s="234"/>
      <c r="G6" s="235"/>
      <c r="H6" s="233" t="s">
        <v>210</v>
      </c>
      <c r="I6" s="234"/>
      <c r="J6" s="235"/>
      <c r="K6" s="236"/>
      <c r="L6" s="236"/>
    </row>
    <row r="7" spans="1:12" x14ac:dyDescent="0.25">
      <c r="A7" s="237" t="str">
        <f>[1]INTRO!$C$8</f>
        <v>NAME</v>
      </c>
      <c r="B7" s="238"/>
      <c r="C7" s="238"/>
      <c r="D7" s="239"/>
      <c r="E7" s="240"/>
      <c r="F7" s="238"/>
      <c r="G7" s="239"/>
      <c r="H7" s="240"/>
      <c r="I7" s="238"/>
      <c r="J7" s="239"/>
      <c r="K7" s="241"/>
      <c r="L7" s="241"/>
    </row>
    <row r="8" spans="1:12" x14ac:dyDescent="0.25">
      <c r="A8" s="242" t="s">
        <v>211</v>
      </c>
      <c r="B8" s="243"/>
      <c r="C8" s="243"/>
      <c r="D8" s="244"/>
      <c r="E8" s="242" t="s">
        <v>212</v>
      </c>
      <c r="F8" s="243"/>
      <c r="G8" s="233" t="s">
        <v>213</v>
      </c>
      <c r="H8" s="235"/>
      <c r="I8" s="233" t="s">
        <v>214</v>
      </c>
      <c r="J8" s="235"/>
      <c r="K8" s="236"/>
      <c r="L8" s="236"/>
    </row>
    <row r="9" spans="1:12" x14ac:dyDescent="0.25">
      <c r="A9" s="240"/>
      <c r="B9" s="245"/>
      <c r="C9" s="245"/>
      <c r="D9" s="246"/>
      <c r="E9" s="240"/>
      <c r="F9" s="245"/>
      <c r="G9" s="247"/>
      <c r="H9" s="248"/>
      <c r="I9" s="249"/>
      <c r="J9" s="250"/>
      <c r="K9" s="241"/>
      <c r="L9" s="241"/>
    </row>
    <row r="12" spans="1:10" x14ac:dyDescent="0.25">
      <c r="A12" s="251" t="s">
        <v>215</v>
      </c>
      <c r="B12" s="252"/>
      <c r="C12" s="252"/>
      <c r="D12" s="253"/>
      <c r="E12" s="254"/>
      <c r="F12" s="254"/>
      <c r="G12" s="254"/>
      <c r="H12" s="254"/>
      <c r="I12" s="254"/>
      <c r="J12" s="254"/>
    </row>
    <row r="13" ht="15.75" customHeight="1" spans="1:10" x14ac:dyDescent="0.25">
      <c r="A13" s="255" t="s">
        <v>81</v>
      </c>
      <c r="B13" s="255" t="s">
        <v>216</v>
      </c>
      <c r="C13" s="255" t="s">
        <v>217</v>
      </c>
      <c r="D13" s="255" t="s">
        <v>218</v>
      </c>
      <c r="E13" s="254"/>
      <c r="F13" t="s">
        <v>219</v>
      </c>
      <c r="G13" s="254"/>
      <c r="H13" s="254"/>
      <c r="I13" s="254"/>
      <c r="J13" s="254"/>
    </row>
    <row r="14" spans="1:10" x14ac:dyDescent="0.25">
      <c r="A14" s="255">
        <v>1</v>
      </c>
      <c r="B14" s="256"/>
      <c r="C14" s="257"/>
      <c r="D14" s="258">
        <f>IF(AND(C14=0,C15=0),0,IF(AND(C14=0,C15&lt;&gt;0),0.025,IF(C14&lt;10,(C14+0.5)/20,IF(C14=10,0.5,IF(AND(C14&gt;10,C14&lt;20),(C14-0.5)/20,IF(AND(C14=20,A14&lt;&gt;9),0.975,IF(AND(C14=20,A14=9),1,"?")))))))</f>
        <v>0</v>
      </c>
      <c r="E14" s="254"/>
      <c r="F14" s="5" t="s">
        <v>220</v>
      </c>
      <c r="G14" s="259"/>
      <c r="H14" s="254"/>
      <c r="I14" s="254"/>
      <c r="J14" s="254"/>
    </row>
    <row r="15" spans="1:10" x14ac:dyDescent="0.25">
      <c r="A15" s="255">
        <v>2</v>
      </c>
      <c r="B15" s="256"/>
      <c r="C15" s="257"/>
      <c r="D15" s="258">
        <f t="shared" ref="D15:D22" si="0">IF(AND(C15=0,C16=0),0,IF(AND(C15=0,C16&lt;&gt;0),0.025,IF(C15&lt;10,(C15+0.5)/20,IF(C15=10,0.5,IF(AND(C15&gt;10,C15&lt;20),(C15-0.5)/20,IF(AND(C15=20,A15&lt;&gt;9),0.975,IF(AND(C15=20,A15=9),1,"?")))))))</f>
        <v>0</v>
      </c>
      <c r="E15" s="254"/>
      <c r="G15" s="259"/>
      <c r="H15" s="254"/>
      <c r="I15" s="254"/>
      <c r="J15" s="254"/>
    </row>
    <row r="16" spans="1:10" x14ac:dyDescent="0.25">
      <c r="A16" s="255">
        <v>3</v>
      </c>
      <c r="B16" s="256"/>
      <c r="C16" s="257"/>
      <c r="D16" s="258">
        <f t="shared" si="0"/>
        <v>0</v>
      </c>
      <c r="E16" s="254"/>
      <c r="G16" s="259"/>
      <c r="H16" s="254"/>
      <c r="I16" s="254"/>
      <c r="J16" s="254"/>
    </row>
    <row r="17" spans="1:10" x14ac:dyDescent="0.25">
      <c r="A17" s="255">
        <v>4</v>
      </c>
      <c r="B17" s="256"/>
      <c r="C17" s="257"/>
      <c r="D17" s="258">
        <f t="shared" si="0"/>
        <v>0</v>
      </c>
      <c r="E17" s="254"/>
      <c r="G17" s="259"/>
      <c r="H17" s="254"/>
      <c r="I17" s="254"/>
      <c r="J17" s="254"/>
    </row>
    <row r="18" spans="1:10" x14ac:dyDescent="0.25">
      <c r="A18" s="255">
        <v>5</v>
      </c>
      <c r="B18" s="256"/>
      <c r="C18" s="257"/>
      <c r="D18" s="258">
        <f t="shared" si="0"/>
        <v>0</v>
      </c>
      <c r="E18" s="254"/>
      <c r="G18" s="259"/>
      <c r="H18" s="254"/>
      <c r="I18" s="254"/>
      <c r="J18" s="254"/>
    </row>
    <row r="19" spans="1:10" x14ac:dyDescent="0.25">
      <c r="A19" s="255">
        <v>6</v>
      </c>
      <c r="B19" s="256"/>
      <c r="C19" s="257"/>
      <c r="D19" s="258">
        <f t="shared" si="0"/>
        <v>0</v>
      </c>
      <c r="E19" s="254"/>
      <c r="G19" s="259"/>
      <c r="H19" s="254"/>
      <c r="I19" s="254"/>
      <c r="J19" s="254"/>
    </row>
    <row r="20" spans="1:10" x14ac:dyDescent="0.25">
      <c r="A20" s="255">
        <v>7</v>
      </c>
      <c r="B20" s="256"/>
      <c r="C20" s="257"/>
      <c r="D20" s="258">
        <f t="shared" si="0"/>
        <v>0</v>
      </c>
      <c r="E20" s="254"/>
      <c r="G20" s="259"/>
      <c r="H20" s="254"/>
      <c r="I20" s="254"/>
      <c r="J20" s="254"/>
    </row>
    <row r="21" spans="1:10" x14ac:dyDescent="0.25">
      <c r="A21" s="255">
        <v>8</v>
      </c>
      <c r="B21" s="256"/>
      <c r="C21" s="257"/>
      <c r="D21" s="258">
        <f t="shared" si="0"/>
        <v>0</v>
      </c>
      <c r="E21" s="254"/>
      <c r="G21" s="259"/>
      <c r="H21" s="254"/>
      <c r="I21" s="254"/>
      <c r="J21" s="254"/>
    </row>
    <row r="22" spans="1:10" x14ac:dyDescent="0.25">
      <c r="A22" s="255">
        <v>9</v>
      </c>
      <c r="B22" s="256"/>
      <c r="C22" s="257"/>
      <c r="D22" s="258">
        <f t="shared" si="0"/>
        <v>0</v>
      </c>
      <c r="E22" s="254"/>
      <c r="G22" s="259"/>
      <c r="H22" s="254"/>
      <c r="I22" s="254"/>
      <c r="J22" s="254"/>
    </row>
    <row r="23" spans="5:10" x14ac:dyDescent="0.25">
      <c r="E23" s="254"/>
      <c r="G23" s="254"/>
      <c r="H23" s="254"/>
      <c r="I23" s="254"/>
      <c r="J23" s="254"/>
    </row>
    <row r="24" spans="5:10" x14ac:dyDescent="0.25">
      <c r="E24" s="254"/>
      <c r="G24" s="254"/>
      <c r="H24" s="254"/>
      <c r="I24" s="254"/>
      <c r="J24" s="254"/>
    </row>
    <row r="25" spans="2:10" x14ac:dyDescent="0.25">
      <c r="B25" t="s">
        <v>221</v>
      </c>
      <c r="E25" s="254"/>
      <c r="G25" s="254"/>
      <c r="H25" s="254"/>
      <c r="I25" s="254"/>
      <c r="J25" s="254"/>
    </row>
    <row r="26" spans="2:10" x14ac:dyDescent="0.25">
      <c r="B26" t="s">
        <v>222</v>
      </c>
      <c r="E26" s="254"/>
      <c r="G26" s="254"/>
      <c r="H26" s="254"/>
      <c r="I26" s="254"/>
      <c r="J26" s="254"/>
    </row>
    <row r="27" ht="15.75" customHeight="1" spans="2:10" x14ac:dyDescent="0.25">
      <c r="B27" s="4" t="s">
        <v>223</v>
      </c>
      <c r="C27" s="4"/>
      <c r="D27" s="257"/>
      <c r="E27" s="254"/>
      <c r="F27" s="254"/>
      <c r="G27" s="254"/>
      <c r="H27" s="254"/>
      <c r="I27" s="254"/>
      <c r="J27" s="254"/>
    </row>
    <row r="28" ht="15.75" customHeight="1" spans="2:10" x14ac:dyDescent="0.25">
      <c r="B28" s="4" t="s">
        <v>224</v>
      </c>
      <c r="C28" s="4"/>
      <c r="D28" s="257"/>
      <c r="E28" s="254"/>
      <c r="F28" s="254"/>
      <c r="G28" s="254"/>
      <c r="H28" s="254"/>
      <c r="I28" s="254"/>
      <c r="J28" s="254"/>
    </row>
    <row r="29" ht="15.75" customHeight="1" spans="2:10" x14ac:dyDescent="0.25">
      <c r="B29" s="4" t="s">
        <v>225</v>
      </c>
      <c r="C29" s="4"/>
      <c r="D29" s="257"/>
      <c r="E29" s="254"/>
      <c r="F29" s="254"/>
      <c r="G29" s="254"/>
      <c r="H29" s="254"/>
      <c r="I29" s="254"/>
      <c r="J29" s="254"/>
    </row>
    <row r="30" spans="5:10" x14ac:dyDescent="0.25">
      <c r="E30" s="254"/>
      <c r="F30" s="254"/>
      <c r="G30" s="254"/>
      <c r="H30" s="254"/>
      <c r="I30" s="254"/>
      <c r="J30" s="254"/>
    </row>
    <row r="31" spans="5:10" x14ac:dyDescent="0.25">
      <c r="E31" s="254"/>
      <c r="F31" s="254"/>
      <c r="G31" s="254"/>
      <c r="H31" s="254"/>
      <c r="I31" s="254"/>
      <c r="J31" s="254"/>
    </row>
    <row r="32" spans="5:10" x14ac:dyDescent="0.25">
      <c r="E32" s="254"/>
      <c r="F32" s="254"/>
      <c r="G32" s="254"/>
      <c r="H32" s="254"/>
      <c r="I32" s="254"/>
      <c r="J32" s="254"/>
    </row>
    <row r="33" spans="5:10" x14ac:dyDescent="0.25">
      <c r="E33" s="254"/>
      <c r="F33" s="254"/>
      <c r="G33" s="254"/>
      <c r="H33" s="254"/>
      <c r="I33" s="254"/>
      <c r="J33" s="254"/>
    </row>
    <row r="34" ht="15.75" customHeight="1" spans="1:10" x14ac:dyDescent="0.25">
      <c r="A34" s="260" t="s">
        <v>226</v>
      </c>
      <c r="B34" s="261"/>
      <c r="C34" s="261"/>
      <c r="D34" s="262"/>
      <c r="E34" s="261"/>
      <c r="F34" s="261"/>
      <c r="G34" s="261"/>
      <c r="H34" s="263"/>
      <c r="I34" s="264"/>
      <c r="J34" s="265"/>
    </row>
    <row r="35" spans="1:10" x14ac:dyDescent="0.25">
      <c r="A35" s="266" t="s">
        <v>227</v>
      </c>
      <c r="B35" s="267"/>
      <c r="C35" s="267"/>
      <c r="D35" s="267"/>
      <c r="E35" s="267"/>
      <c r="F35" s="266" t="s">
        <v>228</v>
      </c>
      <c r="G35" s="267"/>
      <c r="H35" s="267"/>
      <c r="I35" s="267"/>
      <c r="J35" s="268"/>
    </row>
    <row r="36" spans="1:10" x14ac:dyDescent="0.25">
      <c r="A36" s="269"/>
      <c r="B36" s="113" t="s">
        <v>229</v>
      </c>
      <c r="C36" s="10" t="s">
        <v>230</v>
      </c>
      <c r="D36" s="5">
        <f>IF(D27&lt;&gt;"",CONCATENATE(TEXT($I$9,"0.0000")," - (",TEXT($D$27,"0.000"),")"),"")</f>
      </c>
      <c r="E36" s="5"/>
      <c r="F36" s="270" t="s">
        <v>231</v>
      </c>
      <c r="G36" s="10" t="s">
        <v>230</v>
      </c>
      <c r="H36" s="5">
        <f>IF(D27&lt;&gt;"",CONCATENATE("(",TEXT($D$28,"0.0000")," - (",TEXT($D$29,"0.0000"),")) / ",1.08),"")</f>
      </c>
      <c r="I36" s="5"/>
      <c r="J36" s="271"/>
    </row>
    <row r="37" spans="1:10" x14ac:dyDescent="0.25">
      <c r="A37" s="272"/>
      <c r="B37" s="10"/>
      <c r="C37" s="10" t="s">
        <v>230</v>
      </c>
      <c r="D37" s="273">
        <f>IF(D27&lt;&gt;"",$I$9-$D$27,"")</f>
      </c>
      <c r="E37" s="5"/>
      <c r="F37" s="272"/>
      <c r="G37" s="10" t="s">
        <v>230</v>
      </c>
      <c r="H37" s="273">
        <f>IF(D27&lt;&gt;"",($D$28-$D$29)/1.08,"")</f>
      </c>
      <c r="I37" s="5"/>
      <c r="J37" s="271"/>
    </row>
    <row r="38" spans="1:10" x14ac:dyDescent="0.25">
      <c r="A38" s="274"/>
      <c r="B38" s="275"/>
      <c r="C38" s="276"/>
      <c r="D38" s="277"/>
      <c r="E38" s="277"/>
      <c r="F38" s="274"/>
      <c r="G38" s="277"/>
      <c r="H38" s="277"/>
      <c r="I38" s="277"/>
      <c r="J38" s="278"/>
    </row>
    <row r="39" spans="1:10" x14ac:dyDescent="0.25">
      <c r="A39" s="266" t="s">
        <v>232</v>
      </c>
      <c r="B39" s="267"/>
      <c r="C39" s="267"/>
      <c r="D39" s="267"/>
      <c r="E39" s="267"/>
      <c r="F39" s="268"/>
      <c r="G39" s="267"/>
      <c r="H39" s="267"/>
      <c r="I39" s="267"/>
      <c r="J39" s="268"/>
    </row>
    <row r="40" ht="15.75" customHeight="1" spans="1:10" x14ac:dyDescent="0.25">
      <c r="A40" s="272"/>
      <c r="B40" s="113" t="s">
        <v>233</v>
      </c>
      <c r="C40" s="10" t="s">
        <v>230</v>
      </c>
      <c r="D40" s="5" t="s">
        <v>234</v>
      </c>
      <c r="E40" s="5"/>
      <c r="F40" s="271"/>
      <c r="G40" s="113" t="s">
        <v>235</v>
      </c>
      <c r="H40" s="10" t="s">
        <v>230</v>
      </c>
      <c r="I40" s="10">
        <v>2.093</v>
      </c>
      <c r="J40" s="271"/>
    </row>
    <row r="41" spans="1:10" x14ac:dyDescent="0.25">
      <c r="A41" s="272"/>
      <c r="B41" s="5"/>
      <c r="C41" s="10" t="s">
        <v>230</v>
      </c>
      <c r="D41" s="5">
        <f>IF(D27&lt;&gt;"",CONCATENATE("31.3 x ",TEXT(ABS($D$37),"0.0000")," / ",TEXT($H$37,"0.0000")),"")</f>
      </c>
      <c r="E41" s="5"/>
      <c r="F41" s="271"/>
      <c r="G41" s="5"/>
      <c r="H41" s="5"/>
      <c r="I41" s="5"/>
      <c r="J41" s="271"/>
    </row>
    <row r="42" spans="1:10" x14ac:dyDescent="0.25">
      <c r="A42" s="272"/>
      <c r="B42" s="5"/>
      <c r="C42" s="10" t="s">
        <v>230</v>
      </c>
      <c r="D42" s="279">
        <f>IF(D27&lt;&gt;"",31.3*ABS($D$37)/$H$37,"")</f>
      </c>
      <c r="E42" s="5"/>
      <c r="F42" s="271"/>
      <c r="G42" s="5"/>
      <c r="H42" s="5"/>
      <c r="I42" s="5"/>
      <c r="J42" s="271"/>
    </row>
    <row r="43" spans="1:10" x14ac:dyDescent="0.25">
      <c r="A43" s="274"/>
      <c r="B43" s="277"/>
      <c r="C43" s="277"/>
      <c r="D43" s="277"/>
      <c r="E43" s="277"/>
      <c r="F43" s="278"/>
      <c r="G43" s="277"/>
      <c r="H43" s="277"/>
      <c r="I43" s="277"/>
      <c r="J43" s="278"/>
    </row>
    <row r="44" spans="1:10" x14ac:dyDescent="0.25">
      <c r="A44" s="266" t="s">
        <v>236</v>
      </c>
      <c r="B44" s="267"/>
      <c r="C44" s="267"/>
      <c r="D44" s="267"/>
      <c r="E44" s="267"/>
      <c r="F44" s="267"/>
      <c r="G44" s="267"/>
      <c r="H44" s="267"/>
      <c r="I44" s="267"/>
      <c r="J44" s="268"/>
    </row>
    <row r="45" spans="1:10" x14ac:dyDescent="0.25">
      <c r="A45" s="280"/>
      <c r="B45" s="5"/>
      <c r="C45" s="5"/>
      <c r="D45" s="5"/>
      <c r="E45" s="5"/>
      <c r="F45" s="5"/>
      <c r="G45" s="5"/>
      <c r="H45" s="5"/>
      <c r="I45" s="5"/>
      <c r="J45" s="271"/>
    </row>
    <row r="46" ht="15" customHeight="1" spans="1:10" x14ac:dyDescent="0.25">
      <c r="A46" s="272"/>
      <c r="B46" s="281">
        <f>IF(D27&lt;&gt;"",IF($D$42&gt;$I$40,"The bias is significantly different from zero, the gage FAILS","The bias is insignificant from zero, the gage PASSES."),"")</f>
      </c>
      <c r="C46" s="5"/>
      <c r="D46" s="5"/>
      <c r="E46" s="5"/>
      <c r="F46" s="5"/>
      <c r="G46" s="5"/>
      <c r="H46" s="5"/>
      <c r="I46" s="5"/>
      <c r="J46" s="271"/>
    </row>
    <row r="47" spans="1:10" x14ac:dyDescent="0.25">
      <c r="A47" s="274"/>
      <c r="B47" s="277"/>
      <c r="C47" s="277"/>
      <c r="D47" s="277"/>
      <c r="E47" s="277"/>
      <c r="F47" s="277"/>
      <c r="G47" s="277"/>
      <c r="H47" s="277"/>
      <c r="I47" s="277"/>
      <c r="J47" s="278"/>
    </row>
    <row r="49" spans="6:10" x14ac:dyDescent="0.25">
      <c r="F49" t="s">
        <v>237</v>
      </c>
      <c r="G49" s="282"/>
      <c r="H49" s="282"/>
      <c r="I49" s="282"/>
      <c r="J49" s="282"/>
    </row>
    <row r="50" spans="7:10" x14ac:dyDescent="0.25">
      <c r="G50" s="254"/>
      <c r="H50" s="283" t="s">
        <v>238</v>
      </c>
      <c r="I50" s="283"/>
      <c r="J50" s="254"/>
    </row>
  </sheetData>
  <pageMargins left="0.25" right="0.25" top="0.5" bottom="0.5" header="0.5" footer="0.5"/>
  <pageSetup orientation="portrait" horizontalDpi="4294967295" verticalDpi="0" scale="100" fitToWidth="1" fitToHeight="1" firstPageNumber="1" useFirstPageNumber="1" copies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0"/>
  <sheetViews>
    <sheetView workbookViewId="0" zoomScale="100" zoomScaleNormal="100"/>
  </sheetViews>
  <sheetFormatPr defaultRowHeight="12.75" outlineLevelRow="0" outlineLevelCol="0" x14ac:dyDescent="0" customHeight="1"/>
  <sheetData>
    <row r="1" ht="15.75" customHeight="1" spans="1:1" x14ac:dyDescent="0.25">
      <c r="A1" s="284" t="s">
        <v>239</v>
      </c>
    </row>
    <row r="3" spans="1:1" x14ac:dyDescent="0.25">
      <c r="A3" t="s">
        <v>240</v>
      </c>
    </row>
    <row r="4" spans="1:1" x14ac:dyDescent="0.25">
      <c r="A4" t="s">
        <v>241</v>
      </c>
    </row>
    <row r="5" spans="1:1" x14ac:dyDescent="0.25">
      <c r="A5" t="s">
        <v>242</v>
      </c>
    </row>
    <row r="6" spans="1:1" x14ac:dyDescent="0.25">
      <c r="A6" t="s">
        <v>243</v>
      </c>
    </row>
    <row r="7" spans="1:1" x14ac:dyDescent="0.25">
      <c r="A7" t="s">
        <v>244</v>
      </c>
    </row>
    <row r="8" spans="1:1" x14ac:dyDescent="0.25">
      <c r="A8" t="s">
        <v>245</v>
      </c>
    </row>
    <row r="9" spans="1:1" x14ac:dyDescent="0.25">
      <c r="A9" t="s">
        <v>246</v>
      </c>
    </row>
    <row r="10" spans="1:1" x14ac:dyDescent="0.25">
      <c r="A10" t="s">
        <v>247</v>
      </c>
    </row>
    <row r="11" spans="1:1" x14ac:dyDescent="0.25">
      <c r="A11" t="s">
        <v>248</v>
      </c>
    </row>
    <row r="12" spans="1:1" x14ac:dyDescent="0.25">
      <c r="A12" t="s">
        <v>249</v>
      </c>
    </row>
    <row r="13" spans="1:1" x14ac:dyDescent="0.25">
      <c r="A13" t="s">
        <v>250</v>
      </c>
    </row>
    <row r="23" spans="1:13" x14ac:dyDescent="0.25">
      <c r="A23" s="285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8"/>
    </row>
    <row r="24" spans="1:13" x14ac:dyDescent="0.25">
      <c r="A24" s="27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271"/>
    </row>
    <row r="25" spans="1:13" x14ac:dyDescent="0.25">
      <c r="A25" s="2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271"/>
    </row>
    <row r="26" spans="1:13" x14ac:dyDescent="0.25">
      <c r="A26" s="2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271"/>
    </row>
    <row r="27" spans="1:13" x14ac:dyDescent="0.25">
      <c r="A27" s="27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271"/>
    </row>
    <row r="28" spans="1:13" x14ac:dyDescent="0.25">
      <c r="A28" s="27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271"/>
    </row>
    <row r="29" spans="1:13" x14ac:dyDescent="0.25">
      <c r="A29" s="27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271"/>
    </row>
    <row r="30" spans="1:13" x14ac:dyDescent="0.25">
      <c r="A30" s="27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271"/>
    </row>
    <row r="31" spans="1:13" x14ac:dyDescent="0.25">
      <c r="A31" s="27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271"/>
    </row>
    <row r="32" spans="1:13" x14ac:dyDescent="0.25">
      <c r="A32" s="27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271"/>
    </row>
    <row r="33" spans="1:13" x14ac:dyDescent="0.25">
      <c r="A33" s="27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271"/>
    </row>
    <row r="34" spans="1:13" x14ac:dyDescent="0.25">
      <c r="A34" s="27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271"/>
    </row>
    <row r="35" spans="1:13" x14ac:dyDescent="0.25">
      <c r="A35" s="27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271"/>
    </row>
    <row r="36" spans="1:13" x14ac:dyDescent="0.25">
      <c r="A36" s="27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271"/>
    </row>
    <row r="37" spans="1:13" x14ac:dyDescent="0.25">
      <c r="A37" s="27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271"/>
    </row>
    <row r="38" spans="1:13" x14ac:dyDescent="0.25">
      <c r="A38" s="27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271"/>
    </row>
    <row r="39" spans="1:13" x14ac:dyDescent="0.25">
      <c r="A39" s="27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271"/>
    </row>
    <row r="40" spans="1:13" x14ac:dyDescent="0.25">
      <c r="A40" s="27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271"/>
    </row>
    <row r="41" spans="1:13" x14ac:dyDescent="0.25">
      <c r="A41" s="27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271"/>
    </row>
    <row r="42" spans="1:13" x14ac:dyDescent="0.25">
      <c r="A42" s="27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271"/>
    </row>
    <row r="43" spans="1:13" x14ac:dyDescent="0.25">
      <c r="A43" s="27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271"/>
    </row>
    <row r="44" spans="1:13" x14ac:dyDescent="0.25">
      <c r="A44" s="27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271"/>
    </row>
    <row r="45" spans="1:13" x14ac:dyDescent="0.25">
      <c r="A45" s="27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271"/>
    </row>
    <row r="46" spans="1:13" x14ac:dyDescent="0.25">
      <c r="A46" s="27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271"/>
    </row>
    <row r="47" spans="1:13" x14ac:dyDescent="0.25">
      <c r="A47" s="27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271"/>
    </row>
    <row r="48" spans="1:13" x14ac:dyDescent="0.25">
      <c r="A48" s="27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271"/>
    </row>
    <row r="49" spans="1:13" x14ac:dyDescent="0.25">
      <c r="A49" s="27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271"/>
    </row>
    <row r="50" spans="1:13" x14ac:dyDescent="0.25">
      <c r="A50" s="27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271"/>
    </row>
    <row r="51" spans="1:13" x14ac:dyDescent="0.25">
      <c r="A51" s="27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271"/>
    </row>
    <row r="52" spans="1:13" x14ac:dyDescent="0.25">
      <c r="A52" s="27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271"/>
    </row>
    <row r="53" spans="1:13" x14ac:dyDescent="0.25">
      <c r="A53" s="27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271"/>
    </row>
    <row r="54" spans="1:13" x14ac:dyDescent="0.25">
      <c r="A54" s="27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271"/>
    </row>
    <row r="55" spans="1:13" x14ac:dyDescent="0.25">
      <c r="A55" s="27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271"/>
    </row>
    <row r="56" spans="1:13" x14ac:dyDescent="0.25">
      <c r="A56" s="27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271"/>
    </row>
    <row r="57" spans="1:13" x14ac:dyDescent="0.25">
      <c r="A57" s="27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271"/>
    </row>
    <row r="58" spans="1:13" x14ac:dyDescent="0.25">
      <c r="A58" s="27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71"/>
    </row>
    <row r="59" spans="1:13" x14ac:dyDescent="0.25">
      <c r="A59" s="27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271"/>
    </row>
    <row r="60" spans="1:13" x14ac:dyDescent="0.25">
      <c r="A60" s="274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8"/>
    </row>
  </sheetData>
  <pageMargins left="0.75" right="0.75" top="1" bottom="1" header="0.5" footer="0.5"/>
  <pageSetup orientation="portrait" horizontalDpi="4294967295" verticalDpi="0" scale="78" fitToWidth="1" fitToHeight="1" firstPageNumber="1" useFirstPageNumber="1" copies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"/>
  <sheetViews>
    <sheetView workbookViewId="0" zoomScale="100" zoomScaleNormal="100"/>
  </sheetViews>
  <sheetFormatPr defaultRowHeight="12.75" outlineLevelRow="0" outlineLevelCol="0" x14ac:dyDescent="0" customHeight="1"/>
  <cols>
    <col min="12" max="12" width="9.7109375" customWidth="1"/>
  </cols>
  <sheetData>
    <row r="1" ht="18" customHeight="1" spans="4:25" x14ac:dyDescent="0.25">
      <c r="D1" s="286" t="s">
        <v>251</v>
      </c>
      <c r="E1" s="286"/>
      <c r="F1" s="286"/>
      <c r="G1" s="286"/>
      <c r="H1" s="286"/>
      <c r="I1" s="9"/>
      <c r="J1" s="9"/>
      <c r="K1" s="9"/>
      <c r="L1" s="9"/>
      <c r="M1" s="9"/>
      <c r="N1" s="236"/>
      <c r="O1" s="236" t="s">
        <v>1</v>
      </c>
      <c r="P1" s="236"/>
      <c r="Q1" s="236"/>
      <c r="R1" s="236"/>
      <c r="S1" s="236"/>
      <c r="T1" s="236"/>
      <c r="U1" s="236"/>
      <c r="V1" s="236"/>
      <c r="W1" s="236"/>
      <c r="X1" s="236"/>
      <c r="Y1" s="236"/>
    </row>
    <row r="2" ht="18" customHeight="1" spans="4:27" x14ac:dyDescent="0.25">
      <c r="D2" s="286" t="s">
        <v>252</v>
      </c>
      <c r="E2" s="286"/>
      <c r="F2" s="286"/>
      <c r="N2" s="236"/>
      <c r="O2" s="287" t="s">
        <v>253</v>
      </c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</row>
    <row r="3" spans="14:25" x14ac:dyDescent="0.25"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</row>
    <row r="4" spans="1:30" x14ac:dyDescent="0.25">
      <c r="A4" s="233" t="s">
        <v>205</v>
      </c>
      <c r="B4" s="234"/>
      <c r="C4" s="234"/>
      <c r="D4" s="235"/>
      <c r="E4" s="233" t="s">
        <v>206</v>
      </c>
      <c r="F4" s="234"/>
      <c r="G4" s="235"/>
      <c r="H4" s="233" t="s">
        <v>210</v>
      </c>
      <c r="I4" s="234"/>
      <c r="J4" s="235"/>
      <c r="K4" s="233" t="s">
        <v>254</v>
      </c>
      <c r="L4" s="234"/>
      <c r="M4" s="235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</row>
    <row r="5" spans="1:30" x14ac:dyDescent="0.25">
      <c r="A5" s="288"/>
      <c r="B5" s="289"/>
      <c r="C5" s="289"/>
      <c r="D5" s="290"/>
      <c r="E5" s="291"/>
      <c r="F5" s="292"/>
      <c r="G5" s="293"/>
      <c r="H5" s="291"/>
      <c r="I5" s="292"/>
      <c r="J5" s="293"/>
      <c r="K5" s="291"/>
      <c r="L5" s="292"/>
      <c r="M5" s="293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41"/>
      <c r="AA5" s="241"/>
      <c r="AB5" s="241"/>
      <c r="AC5" s="241"/>
      <c r="AD5" s="241"/>
    </row>
    <row r="6" spans="1:30" x14ac:dyDescent="0.25">
      <c r="A6" s="233" t="s">
        <v>208</v>
      </c>
      <c r="B6" s="234"/>
      <c r="C6" s="234"/>
      <c r="D6" s="235"/>
      <c r="E6" s="233" t="s">
        <v>209</v>
      </c>
      <c r="F6" s="234"/>
      <c r="G6" s="235"/>
      <c r="H6" s="242" t="s">
        <v>212</v>
      </c>
      <c r="I6" s="236"/>
      <c r="J6" s="236"/>
      <c r="K6" s="233" t="s">
        <v>255</v>
      </c>
      <c r="L6" s="234"/>
      <c r="M6" s="235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</row>
    <row r="7" spans="1:30" x14ac:dyDescent="0.25">
      <c r="A7" s="288"/>
      <c r="B7" s="289"/>
      <c r="C7" s="289"/>
      <c r="D7" s="290"/>
      <c r="E7" s="291"/>
      <c r="F7" s="292"/>
      <c r="G7" s="293"/>
      <c r="H7" s="295"/>
      <c r="I7" s="296"/>
      <c r="J7" s="297"/>
      <c r="K7" s="291"/>
      <c r="L7" s="292"/>
      <c r="M7" s="293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41"/>
      <c r="AA7" s="241"/>
      <c r="AB7" s="241"/>
      <c r="AC7" s="241"/>
      <c r="AD7" s="241"/>
    </row>
    <row r="8" spans="1:30" x14ac:dyDescent="0.25">
      <c r="A8" s="242" t="s">
        <v>211</v>
      </c>
      <c r="B8" s="243"/>
      <c r="C8" s="243"/>
      <c r="D8" s="243"/>
      <c r="E8" s="242" t="s">
        <v>256</v>
      </c>
      <c r="F8" s="243"/>
      <c r="G8" s="235"/>
      <c r="H8" s="233" t="s">
        <v>257</v>
      </c>
      <c r="I8" s="234"/>
      <c r="J8" s="235"/>
      <c r="K8" s="234" t="s">
        <v>258</v>
      </c>
      <c r="L8" s="234"/>
      <c r="M8" s="235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</row>
    <row r="9" spans="1:30" x14ac:dyDescent="0.25">
      <c r="A9" s="291"/>
      <c r="B9" s="292"/>
      <c r="C9" s="292"/>
      <c r="D9" s="293"/>
      <c r="E9" s="295"/>
      <c r="F9" s="296"/>
      <c r="G9" s="297"/>
      <c r="H9" s="295"/>
      <c r="I9" s="296"/>
      <c r="J9" s="297"/>
      <c r="K9" s="291"/>
      <c r="L9" s="292"/>
      <c r="M9" s="293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41"/>
      <c r="AA9" s="241"/>
      <c r="AB9" s="241"/>
      <c r="AC9" s="241"/>
      <c r="AD9" s="241"/>
    </row>
    <row r="10" spans="1:30" x14ac:dyDescent="0.25">
      <c r="A10" s="298"/>
      <c r="B10" s="298"/>
      <c r="C10" s="298"/>
      <c r="D10" s="298"/>
      <c r="E10" s="299"/>
      <c r="F10" s="299"/>
      <c r="G10" s="299"/>
      <c r="H10" s="299"/>
      <c r="I10" s="299"/>
      <c r="J10" s="299"/>
      <c r="K10" s="298"/>
      <c r="L10" s="241"/>
      <c r="M10" s="241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41"/>
      <c r="AA10" s="241"/>
      <c r="AB10" s="241"/>
      <c r="AC10" s="241"/>
      <c r="AD10" s="241"/>
    </row>
    <row r="11" ht="15.75" customHeight="1" spans="1:25" x14ac:dyDescent="0.25">
      <c r="A11" s="300" t="s">
        <v>259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300"/>
      <c r="M11" s="300"/>
      <c r="N11" s="236"/>
      <c r="O11" s="301" t="s">
        <v>260</v>
      </c>
      <c r="P11" s="302"/>
      <c r="Q11" s="302"/>
      <c r="R11" s="236"/>
      <c r="S11" s="301" t="s">
        <v>261</v>
      </c>
      <c r="T11" s="302"/>
      <c r="U11" s="302"/>
      <c r="V11" s="236"/>
      <c r="W11" s="301" t="s">
        <v>262</v>
      </c>
      <c r="X11" s="302"/>
      <c r="Y11" s="302"/>
    </row>
    <row r="12" ht="25.5" customHeight="1" spans="1:25" x14ac:dyDescent="0.25">
      <c r="A12" s="303" t="s">
        <v>263</v>
      </c>
      <c r="B12" s="303" t="s">
        <v>264</v>
      </c>
      <c r="C12" s="303" t="s">
        <v>265</v>
      </c>
      <c r="D12" s="303" t="s">
        <v>266</v>
      </c>
      <c r="E12" s="303" t="s">
        <v>267</v>
      </c>
      <c r="F12" s="303" t="s">
        <v>268</v>
      </c>
      <c r="G12" s="303" t="s">
        <v>269</v>
      </c>
      <c r="H12" s="303" t="s">
        <v>270</v>
      </c>
      <c r="I12" s="303" t="s">
        <v>271</v>
      </c>
      <c r="J12" s="303" t="s">
        <v>272</v>
      </c>
      <c r="K12" s="303" t="s">
        <v>273</v>
      </c>
      <c r="L12" s="304" t="s">
        <v>274</v>
      </c>
      <c r="M12" s="303" t="s">
        <v>275</v>
      </c>
      <c r="N12" s="236"/>
      <c r="O12" s="302">
        <v>1</v>
      </c>
      <c r="P12" s="302">
        <v>2</v>
      </c>
      <c r="Q12" s="302">
        <v>3</v>
      </c>
      <c r="R12" s="236"/>
      <c r="S12" s="302">
        <v>1</v>
      </c>
      <c r="T12" s="302">
        <v>2</v>
      </c>
      <c r="U12" s="302">
        <v>3</v>
      </c>
      <c r="V12" s="236"/>
      <c r="W12" s="302">
        <v>1</v>
      </c>
      <c r="X12" s="302">
        <v>2</v>
      </c>
      <c r="Y12" s="302">
        <v>3</v>
      </c>
    </row>
    <row r="13" spans="1:30" x14ac:dyDescent="0.25">
      <c r="A13" s="303">
        <v>1</v>
      </c>
      <c r="B13" s="305"/>
      <c r="C13" s="305"/>
      <c r="D13" s="305"/>
      <c r="E13" s="305"/>
      <c r="F13" s="305"/>
      <c r="G13" s="305"/>
      <c r="H13" s="305"/>
      <c r="I13" s="305"/>
      <c r="J13" s="305"/>
      <c r="K13" s="305">
        <f>IF(L13&lt;&gt;"",IF(OR(L13&lt;$H$9,L13&gt;$E$9),0,1),"")</f>
      </c>
      <c r="L13" s="305"/>
      <c r="M13" s="305">
        <f>IF(B13&lt;&gt;"",IF(SUM(B13:J13)=9,"+",IF(SUM(B13:J13)=0,"-","x")),"")</f>
      </c>
      <c r="N13" s="306"/>
      <c r="O13" s="307">
        <f>IF(B13&lt;&gt;"",IF(AND(B13=0,E13=0),"a",IF(AND(B13=1,E13=0),"b",IF(AND(B13=0,E13=1),"c","d"))),"")</f>
      </c>
      <c r="P13" s="307">
        <f>IF(C13&lt;&gt;"",IF(AND(C13=0,F13=0),"a",IF(AND(C13=1,F13=0),"b",IF(AND(C13=0,F13=1),"c","d"))),"")</f>
      </c>
      <c r="Q13" s="307">
        <f>IF(D13&lt;&gt;"",IF(AND(D13=0,G13=0),"a",IF(AND(D13=1,G13=0),"b",IF(AND(D13=0,G13=1),"c","d"))),"")</f>
      </c>
      <c r="R13" s="306"/>
      <c r="S13" s="307">
        <f>IF(E13&lt;&gt;"",IF(AND(E13=0,H13=0),"a",IF(AND(E13=1,H13=0),"b",IF(AND(E13=0,H13=1),"c","d"))),"")</f>
      </c>
      <c r="T13" s="307">
        <f>IF(F13&lt;&gt;"",IF(AND(F13=0,I13=0),"a",IF(AND(F13=1,I13=0),"b",IF(AND(F13=0,I13=1),"c","d"))),"")</f>
      </c>
      <c r="U13" s="307">
        <f>IF(G13&lt;&gt;"",IF(AND(G13=0,J13=0),"a",IF(AND(G13=1,J13=0),"b",IF(AND(G13=0,J13=1),"c","d"))),"")</f>
      </c>
      <c r="V13" s="306"/>
      <c r="W13" s="307">
        <f>IF(B13&lt;&gt;"",IF(AND(B13=0,H13=0),"a",IF(AND(B13=1,H13=0),"b",IF(AND(B13=0,H13=1),"c","d"))),"")</f>
      </c>
      <c r="X13" s="307">
        <f>IF(C13&lt;&gt;"",IF(AND(C13=0,I13=0),"a",IF(AND(C13=1,I13=0),"b",IF(AND(C13=0,I13=1),"c","d"))),"")</f>
      </c>
      <c r="Y13" s="307">
        <f>IF(D13&lt;&gt;"",IF(AND(D13=0,J13=0),"a",IF(AND(D13=1,J13=0),"b",IF(AND(D13=0,J13=1),"c","d"))),"")</f>
      </c>
      <c r="Z13" s="306"/>
      <c r="AA13" s="306"/>
      <c r="AB13" s="306"/>
      <c r="AC13" s="306"/>
      <c r="AD13" s="306"/>
    </row>
    <row r="14" spans="1:30" x14ac:dyDescent="0.25">
      <c r="A14" s="303">
        <f>A13+1</f>
        <v>2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>
        <f t="shared" ref="K14:K52" si="0">IF(L14&lt;&gt;"",IF(OR(L14&lt;$H$9,L14&gt;$E$9),0,1),"")</f>
      </c>
      <c r="L14" s="305"/>
      <c r="M14" s="305">
        <f t="shared" ref="M14:M52" si="1">IF(B14&lt;&gt;"",IF(SUM(B14:J14)=9,"+",IF(SUM(B14:J14)=0,"-","x")),"")</f>
      </c>
      <c r="N14" s="306"/>
      <c r="O14" s="307">
        <f t="shared" ref="O14:Q52" si="2">IF(B14&lt;&gt;"",IF(AND(B14=0,E14=0),"a",IF(AND(B14=1,E14=0),"b",IF(AND(B14=0,E14=1),"c","d"))),"")</f>
      </c>
      <c r="P14" s="307">
        <f t="shared" si="2"/>
      </c>
      <c r="Q14" s="307">
        <f t="shared" si="2"/>
      </c>
      <c r="R14" s="306"/>
      <c r="S14" s="307">
        <f t="shared" ref="S14:U52" si="3">IF(E14&lt;&gt;"",IF(AND(E14=0,H14=0),"a",IF(AND(E14=1,H14=0),"b",IF(AND(E14=0,H14=1),"c","d"))),"")</f>
      </c>
      <c r="T14" s="307">
        <f t="shared" si="3"/>
      </c>
      <c r="U14" s="307">
        <f t="shared" si="3"/>
      </c>
      <c r="V14" s="306"/>
      <c r="W14" s="307">
        <f t="shared" ref="W14:Y52" si="4">IF(B14&lt;&gt;"",IF(AND(B14=0,H14=0),"a",IF(AND(B14=1,H14=0),"b",IF(AND(B14=0,H14=1),"c","d"))),"")</f>
      </c>
      <c r="X14" s="307">
        <f t="shared" si="4"/>
      </c>
      <c r="Y14" s="307">
        <f t="shared" si="4"/>
      </c>
      <c r="Z14" s="306"/>
      <c r="AA14" s="306"/>
      <c r="AB14" s="306"/>
      <c r="AC14" s="306"/>
      <c r="AD14" s="306"/>
    </row>
    <row r="15" spans="1:30" x14ac:dyDescent="0.25">
      <c r="A15" s="303">
        <f t="shared" ref="A15:A66" si="5">A14+1</f>
        <v>3</v>
      </c>
      <c r="B15" s="305"/>
      <c r="C15" s="305"/>
      <c r="D15" s="305"/>
      <c r="E15" s="305"/>
      <c r="F15" s="305"/>
      <c r="G15" s="305"/>
      <c r="H15" s="305"/>
      <c r="I15" s="305"/>
      <c r="J15" s="305"/>
      <c r="K15" s="305">
        <f t="shared" si="0"/>
      </c>
      <c r="L15" s="305"/>
      <c r="M15" s="305">
        <f t="shared" si="1"/>
      </c>
      <c r="N15" s="306"/>
      <c r="O15" s="307">
        <f t="shared" si="2"/>
      </c>
      <c r="P15" s="307">
        <f t="shared" si="2"/>
      </c>
      <c r="Q15" s="307">
        <f t="shared" si="2"/>
      </c>
      <c r="R15" s="306"/>
      <c r="S15" s="307">
        <f t="shared" si="3"/>
      </c>
      <c r="T15" s="307">
        <f t="shared" si="3"/>
      </c>
      <c r="U15" s="307">
        <f t="shared" si="3"/>
      </c>
      <c r="V15" s="306"/>
      <c r="W15" s="307">
        <f t="shared" si="4"/>
      </c>
      <c r="X15" s="307">
        <f t="shared" si="4"/>
      </c>
      <c r="Y15" s="307">
        <f t="shared" si="4"/>
      </c>
      <c r="Z15" s="306"/>
      <c r="AA15" s="306"/>
      <c r="AB15" s="306"/>
      <c r="AC15" s="306"/>
      <c r="AD15" s="306"/>
    </row>
    <row r="16" spans="1:30" x14ac:dyDescent="0.25">
      <c r="A16" s="303">
        <f t="shared" si="5"/>
        <v>4</v>
      </c>
      <c r="B16" s="305"/>
      <c r="C16" s="305"/>
      <c r="D16" s="305"/>
      <c r="E16" s="305"/>
      <c r="F16" s="305"/>
      <c r="G16" s="305"/>
      <c r="H16" s="305"/>
      <c r="I16" s="305"/>
      <c r="J16" s="305"/>
      <c r="K16" s="305">
        <f t="shared" si="0"/>
      </c>
      <c r="L16" s="305"/>
      <c r="M16" s="305">
        <f t="shared" si="1"/>
      </c>
      <c r="N16" s="306"/>
      <c r="O16" s="307">
        <f t="shared" si="2"/>
      </c>
      <c r="P16" s="307">
        <f t="shared" si="2"/>
      </c>
      <c r="Q16" s="307">
        <f t="shared" si="2"/>
      </c>
      <c r="R16" s="306"/>
      <c r="S16" s="307">
        <f t="shared" si="3"/>
      </c>
      <c r="T16" s="307">
        <f t="shared" si="3"/>
      </c>
      <c r="U16" s="307">
        <f t="shared" si="3"/>
      </c>
      <c r="V16" s="306"/>
      <c r="W16" s="307">
        <f t="shared" si="4"/>
      </c>
      <c r="X16" s="307">
        <f t="shared" si="4"/>
      </c>
      <c r="Y16" s="307">
        <f t="shared" si="4"/>
      </c>
      <c r="Z16" s="306"/>
      <c r="AA16" s="306"/>
      <c r="AB16" s="306"/>
      <c r="AC16" s="306"/>
      <c r="AD16" s="306"/>
    </row>
    <row r="17" spans="1:30" x14ac:dyDescent="0.25">
      <c r="A17" s="303">
        <f t="shared" si="5"/>
        <v>5</v>
      </c>
      <c r="B17" s="305"/>
      <c r="C17" s="305"/>
      <c r="D17" s="305"/>
      <c r="E17" s="305"/>
      <c r="F17" s="305"/>
      <c r="G17" s="305"/>
      <c r="H17" s="305"/>
      <c r="I17" s="305"/>
      <c r="J17" s="305"/>
      <c r="K17" s="305">
        <f t="shared" si="0"/>
      </c>
      <c r="L17" s="305"/>
      <c r="M17" s="305">
        <f t="shared" si="1"/>
      </c>
      <c r="N17" s="306"/>
      <c r="O17" s="307">
        <f t="shared" si="2"/>
      </c>
      <c r="P17" s="307">
        <f t="shared" si="2"/>
      </c>
      <c r="Q17" s="307">
        <f t="shared" si="2"/>
      </c>
      <c r="R17" s="306"/>
      <c r="S17" s="307">
        <f t="shared" si="3"/>
      </c>
      <c r="T17" s="307">
        <f t="shared" si="3"/>
      </c>
      <c r="U17" s="307">
        <f t="shared" si="3"/>
      </c>
      <c r="V17" s="306"/>
      <c r="W17" s="307">
        <f t="shared" si="4"/>
      </c>
      <c r="X17" s="307">
        <f t="shared" si="4"/>
      </c>
      <c r="Y17" s="307">
        <f t="shared" si="4"/>
      </c>
      <c r="Z17" s="306"/>
      <c r="AA17" s="306"/>
      <c r="AB17" s="306"/>
      <c r="AC17" s="306"/>
      <c r="AD17" s="306"/>
    </row>
    <row r="18" spans="1:30" x14ac:dyDescent="0.25">
      <c r="A18" s="303">
        <f t="shared" si="5"/>
        <v>6</v>
      </c>
      <c r="B18" s="305"/>
      <c r="C18" s="305"/>
      <c r="D18" s="305"/>
      <c r="E18" s="305"/>
      <c r="F18" s="305"/>
      <c r="G18" s="305"/>
      <c r="H18" s="305"/>
      <c r="I18" s="305"/>
      <c r="J18" s="305"/>
      <c r="K18" s="305">
        <f t="shared" si="0"/>
      </c>
      <c r="L18" s="305"/>
      <c r="M18" s="305">
        <f t="shared" si="1"/>
      </c>
      <c r="N18" s="306"/>
      <c r="O18" s="307">
        <f t="shared" si="2"/>
      </c>
      <c r="P18" s="307">
        <f t="shared" si="2"/>
      </c>
      <c r="Q18" s="307">
        <f t="shared" si="2"/>
      </c>
      <c r="R18" s="306"/>
      <c r="S18" s="307">
        <f t="shared" si="3"/>
      </c>
      <c r="T18" s="307">
        <f t="shared" si="3"/>
      </c>
      <c r="U18" s="307">
        <f t="shared" si="3"/>
      </c>
      <c r="V18" s="306"/>
      <c r="W18" s="307">
        <f t="shared" si="4"/>
      </c>
      <c r="X18" s="307">
        <f t="shared" si="4"/>
      </c>
      <c r="Y18" s="307">
        <f t="shared" si="4"/>
      </c>
      <c r="Z18" s="306"/>
      <c r="AA18" s="306"/>
      <c r="AB18" s="306"/>
      <c r="AC18" s="306"/>
      <c r="AD18" s="306"/>
    </row>
    <row r="19" spans="1:30" x14ac:dyDescent="0.25">
      <c r="A19" s="303">
        <f t="shared" si="5"/>
        <v>7</v>
      </c>
      <c r="B19" s="305"/>
      <c r="C19" s="305"/>
      <c r="D19" s="305"/>
      <c r="E19" s="305"/>
      <c r="F19" s="305"/>
      <c r="G19" s="305"/>
      <c r="H19" s="305"/>
      <c r="I19" s="305"/>
      <c r="J19" s="305"/>
      <c r="K19" s="305">
        <f t="shared" si="0"/>
      </c>
      <c r="L19" s="305"/>
      <c r="M19" s="305">
        <f t="shared" si="1"/>
      </c>
      <c r="N19" s="306"/>
      <c r="O19" s="307">
        <f t="shared" si="2"/>
      </c>
      <c r="P19" s="307">
        <f t="shared" si="2"/>
      </c>
      <c r="Q19" s="307">
        <f t="shared" si="2"/>
      </c>
      <c r="R19" s="306"/>
      <c r="S19" s="307">
        <f t="shared" si="3"/>
      </c>
      <c r="T19" s="307">
        <f t="shared" si="3"/>
      </c>
      <c r="U19" s="307">
        <f t="shared" si="3"/>
      </c>
      <c r="V19" s="306"/>
      <c r="W19" s="307">
        <f t="shared" si="4"/>
      </c>
      <c r="X19" s="307">
        <f t="shared" si="4"/>
      </c>
      <c r="Y19" s="307">
        <f t="shared" si="4"/>
      </c>
      <c r="Z19" s="306"/>
      <c r="AA19" s="306"/>
      <c r="AB19" s="306"/>
      <c r="AC19" s="306"/>
      <c r="AD19" s="306"/>
    </row>
    <row r="20" spans="1:30" x14ac:dyDescent="0.25">
      <c r="A20" s="303">
        <f t="shared" si="5"/>
        <v>8</v>
      </c>
      <c r="B20" s="305"/>
      <c r="C20" s="305"/>
      <c r="D20" s="305"/>
      <c r="E20" s="305"/>
      <c r="F20" s="305"/>
      <c r="G20" s="305"/>
      <c r="H20" s="305"/>
      <c r="I20" s="305"/>
      <c r="J20" s="305"/>
      <c r="K20" s="305">
        <f t="shared" si="0"/>
      </c>
      <c r="L20" s="305"/>
      <c r="M20" s="305">
        <f t="shared" si="1"/>
      </c>
      <c r="N20" s="306"/>
      <c r="O20" s="307">
        <f t="shared" si="2"/>
      </c>
      <c r="P20" s="307">
        <f t="shared" si="2"/>
      </c>
      <c r="Q20" s="307">
        <f t="shared" si="2"/>
      </c>
      <c r="R20" s="306"/>
      <c r="S20" s="307">
        <f t="shared" si="3"/>
      </c>
      <c r="T20" s="307">
        <f t="shared" si="3"/>
      </c>
      <c r="U20" s="307">
        <f t="shared" si="3"/>
      </c>
      <c r="V20" s="306"/>
      <c r="W20" s="307">
        <f t="shared" si="4"/>
      </c>
      <c r="X20" s="307">
        <f t="shared" si="4"/>
      </c>
      <c r="Y20" s="307">
        <f t="shared" si="4"/>
      </c>
      <c r="Z20" s="306"/>
      <c r="AA20" s="306"/>
      <c r="AB20" s="306"/>
      <c r="AC20" s="306"/>
      <c r="AD20" s="306"/>
    </row>
    <row r="21" spans="1:30" x14ac:dyDescent="0.25">
      <c r="A21" s="303">
        <f t="shared" si="5"/>
        <v>9</v>
      </c>
      <c r="B21" s="305"/>
      <c r="C21" s="305"/>
      <c r="D21" s="305"/>
      <c r="E21" s="305"/>
      <c r="F21" s="305"/>
      <c r="G21" s="305"/>
      <c r="H21" s="305"/>
      <c r="I21" s="305"/>
      <c r="J21" s="305"/>
      <c r="K21" s="305">
        <f t="shared" si="0"/>
      </c>
      <c r="L21" s="305"/>
      <c r="M21" s="305">
        <f t="shared" si="1"/>
      </c>
      <c r="N21" s="306"/>
      <c r="O21" s="307">
        <f t="shared" si="2"/>
      </c>
      <c r="P21" s="307">
        <f t="shared" si="2"/>
      </c>
      <c r="Q21" s="307">
        <f t="shared" si="2"/>
      </c>
      <c r="R21" s="306"/>
      <c r="S21" s="307">
        <f t="shared" si="3"/>
      </c>
      <c r="T21" s="307">
        <f t="shared" si="3"/>
      </c>
      <c r="U21" s="307">
        <f t="shared" si="3"/>
      </c>
      <c r="V21" s="306"/>
      <c r="W21" s="307">
        <f t="shared" si="4"/>
      </c>
      <c r="X21" s="307">
        <f t="shared" si="4"/>
      </c>
      <c r="Y21" s="307">
        <f t="shared" si="4"/>
      </c>
      <c r="Z21" s="306"/>
      <c r="AA21" s="306"/>
      <c r="AB21" s="306"/>
      <c r="AC21" s="306"/>
      <c r="AD21" s="306"/>
    </row>
    <row r="22" spans="1:30" x14ac:dyDescent="0.25">
      <c r="A22" s="303">
        <f t="shared" si="5"/>
        <v>10</v>
      </c>
      <c r="B22" s="305"/>
      <c r="C22" s="305"/>
      <c r="D22" s="305"/>
      <c r="E22" s="305"/>
      <c r="F22" s="305"/>
      <c r="G22" s="305"/>
      <c r="H22" s="305"/>
      <c r="I22" s="305"/>
      <c r="J22" s="305"/>
      <c r="K22" s="305">
        <f t="shared" si="0"/>
      </c>
      <c r="L22" s="305"/>
      <c r="M22" s="305">
        <f t="shared" si="1"/>
      </c>
      <c r="N22" s="306"/>
      <c r="O22" s="307">
        <f t="shared" si="2"/>
      </c>
      <c r="P22" s="307">
        <f t="shared" si="2"/>
      </c>
      <c r="Q22" s="307">
        <f t="shared" si="2"/>
      </c>
      <c r="R22" s="306"/>
      <c r="S22" s="307">
        <f t="shared" si="3"/>
      </c>
      <c r="T22" s="307">
        <f t="shared" si="3"/>
      </c>
      <c r="U22" s="307">
        <f t="shared" si="3"/>
      </c>
      <c r="V22" s="306"/>
      <c r="W22" s="307">
        <f t="shared" si="4"/>
      </c>
      <c r="X22" s="307">
        <f t="shared" si="4"/>
      </c>
      <c r="Y22" s="307">
        <f t="shared" si="4"/>
      </c>
      <c r="Z22" s="306"/>
      <c r="AA22" s="306"/>
      <c r="AB22" s="306"/>
      <c r="AC22" s="306"/>
      <c r="AD22" s="306"/>
    </row>
    <row r="23" spans="1:30" x14ac:dyDescent="0.25">
      <c r="A23" s="303">
        <f t="shared" si="5"/>
        <v>11</v>
      </c>
      <c r="B23" s="305"/>
      <c r="C23" s="305"/>
      <c r="D23" s="305"/>
      <c r="E23" s="305"/>
      <c r="F23" s="305"/>
      <c r="G23" s="305"/>
      <c r="H23" s="305"/>
      <c r="I23" s="305"/>
      <c r="J23" s="305"/>
      <c r="K23" s="305">
        <f t="shared" si="0"/>
      </c>
      <c r="L23" s="305"/>
      <c r="M23" s="305">
        <f t="shared" si="1"/>
      </c>
      <c r="N23" s="306"/>
      <c r="O23" s="307">
        <f t="shared" si="2"/>
      </c>
      <c r="P23" s="307">
        <f t="shared" si="2"/>
      </c>
      <c r="Q23" s="307">
        <f t="shared" si="2"/>
      </c>
      <c r="R23" s="306"/>
      <c r="S23" s="307">
        <f t="shared" si="3"/>
      </c>
      <c r="T23" s="307">
        <f t="shared" si="3"/>
      </c>
      <c r="U23" s="307">
        <f t="shared" si="3"/>
      </c>
      <c r="V23" s="306"/>
      <c r="W23" s="307">
        <f t="shared" si="4"/>
      </c>
      <c r="X23" s="307">
        <f t="shared" si="4"/>
      </c>
      <c r="Y23" s="307">
        <f t="shared" si="4"/>
      </c>
      <c r="Z23" s="306"/>
      <c r="AA23" s="306"/>
      <c r="AB23" s="306"/>
      <c r="AC23" s="306"/>
      <c r="AD23" s="306"/>
    </row>
    <row r="24" spans="1:30" x14ac:dyDescent="0.25">
      <c r="A24" s="303">
        <f t="shared" si="5"/>
        <v>12</v>
      </c>
      <c r="B24" s="305"/>
      <c r="C24" s="305"/>
      <c r="D24" s="305"/>
      <c r="E24" s="305"/>
      <c r="F24" s="305"/>
      <c r="G24" s="305"/>
      <c r="H24" s="305"/>
      <c r="I24" s="305"/>
      <c r="J24" s="305"/>
      <c r="K24" s="305">
        <f t="shared" si="0"/>
      </c>
      <c r="L24" s="305"/>
      <c r="M24" s="305">
        <f t="shared" si="1"/>
      </c>
      <c r="N24" s="306"/>
      <c r="O24" s="307">
        <f t="shared" si="2"/>
      </c>
      <c r="P24" s="307">
        <f t="shared" si="2"/>
      </c>
      <c r="Q24" s="307">
        <f t="shared" si="2"/>
      </c>
      <c r="R24" s="306"/>
      <c r="S24" s="307">
        <f t="shared" si="3"/>
      </c>
      <c r="T24" s="307">
        <f t="shared" si="3"/>
      </c>
      <c r="U24" s="307">
        <f t="shared" si="3"/>
      </c>
      <c r="V24" s="306"/>
      <c r="W24" s="307">
        <f t="shared" si="4"/>
      </c>
      <c r="X24" s="307">
        <f t="shared" si="4"/>
      </c>
      <c r="Y24" s="307">
        <f t="shared" si="4"/>
      </c>
      <c r="Z24" s="306"/>
      <c r="AA24" s="306"/>
      <c r="AB24" s="306"/>
      <c r="AC24" s="306"/>
      <c r="AD24" s="306"/>
    </row>
    <row r="25" spans="1:30" x14ac:dyDescent="0.25">
      <c r="A25" s="303">
        <f t="shared" si="5"/>
        <v>13</v>
      </c>
      <c r="B25" s="305"/>
      <c r="C25" s="305"/>
      <c r="D25" s="305"/>
      <c r="E25" s="305"/>
      <c r="F25" s="305"/>
      <c r="G25" s="305"/>
      <c r="H25" s="305"/>
      <c r="I25" s="305"/>
      <c r="J25" s="305"/>
      <c r="K25" s="305">
        <f t="shared" si="0"/>
      </c>
      <c r="L25" s="305"/>
      <c r="M25" s="305">
        <f t="shared" si="1"/>
      </c>
      <c r="N25" s="306"/>
      <c r="O25" s="307">
        <f t="shared" si="2"/>
      </c>
      <c r="P25" s="307">
        <f t="shared" si="2"/>
      </c>
      <c r="Q25" s="307">
        <f t="shared" si="2"/>
      </c>
      <c r="R25" s="306"/>
      <c r="S25" s="307">
        <f t="shared" si="3"/>
      </c>
      <c r="T25" s="307">
        <f t="shared" si="3"/>
      </c>
      <c r="U25" s="307">
        <f t="shared" si="3"/>
      </c>
      <c r="V25" s="306"/>
      <c r="W25" s="307">
        <f t="shared" si="4"/>
      </c>
      <c r="X25" s="307">
        <f t="shared" si="4"/>
      </c>
      <c r="Y25" s="307">
        <f t="shared" si="4"/>
      </c>
      <c r="Z25" s="306"/>
      <c r="AA25" s="306"/>
      <c r="AB25" s="306"/>
      <c r="AC25" s="306"/>
      <c r="AD25" s="306"/>
    </row>
    <row r="26" spans="1:30" x14ac:dyDescent="0.25">
      <c r="A26" s="303">
        <f t="shared" si="5"/>
        <v>14</v>
      </c>
      <c r="B26" s="305"/>
      <c r="C26" s="305"/>
      <c r="D26" s="305"/>
      <c r="E26" s="305"/>
      <c r="F26" s="305"/>
      <c r="G26" s="305"/>
      <c r="H26" s="305"/>
      <c r="I26" s="305"/>
      <c r="J26" s="305"/>
      <c r="K26" s="305">
        <f t="shared" si="0"/>
      </c>
      <c r="L26" s="305"/>
      <c r="M26" s="305">
        <f t="shared" si="1"/>
      </c>
      <c r="N26" s="306"/>
      <c r="O26" s="307">
        <f t="shared" si="2"/>
      </c>
      <c r="P26" s="307">
        <f t="shared" si="2"/>
      </c>
      <c r="Q26" s="307">
        <f t="shared" si="2"/>
      </c>
      <c r="R26" s="306"/>
      <c r="S26" s="307">
        <f t="shared" si="3"/>
      </c>
      <c r="T26" s="307">
        <f t="shared" si="3"/>
      </c>
      <c r="U26" s="307">
        <f t="shared" si="3"/>
      </c>
      <c r="V26" s="306"/>
      <c r="W26" s="307">
        <f t="shared" si="4"/>
      </c>
      <c r="X26" s="307">
        <f t="shared" si="4"/>
      </c>
      <c r="Y26" s="307">
        <f t="shared" si="4"/>
      </c>
      <c r="Z26" s="306"/>
      <c r="AA26" s="306"/>
      <c r="AB26" s="306"/>
      <c r="AC26" s="306"/>
      <c r="AD26" s="306"/>
    </row>
    <row r="27" spans="1:30" x14ac:dyDescent="0.25">
      <c r="A27" s="303">
        <f t="shared" si="5"/>
        <v>15</v>
      </c>
      <c r="B27" s="305"/>
      <c r="C27" s="305"/>
      <c r="D27" s="305"/>
      <c r="E27" s="305"/>
      <c r="F27" s="305"/>
      <c r="G27" s="305"/>
      <c r="H27" s="305"/>
      <c r="I27" s="305"/>
      <c r="J27" s="305"/>
      <c r="K27" s="305">
        <f t="shared" si="0"/>
      </c>
      <c r="L27" s="305"/>
      <c r="M27" s="305">
        <f t="shared" si="1"/>
      </c>
      <c r="N27" s="306"/>
      <c r="O27" s="307">
        <f t="shared" si="2"/>
      </c>
      <c r="P27" s="307">
        <f t="shared" si="2"/>
      </c>
      <c r="Q27" s="307">
        <f t="shared" si="2"/>
      </c>
      <c r="R27" s="306"/>
      <c r="S27" s="307">
        <f t="shared" si="3"/>
      </c>
      <c r="T27" s="307">
        <f t="shared" si="3"/>
      </c>
      <c r="U27" s="307">
        <f t="shared" si="3"/>
      </c>
      <c r="V27" s="306"/>
      <c r="W27" s="307">
        <f t="shared" si="4"/>
      </c>
      <c r="X27" s="307">
        <f t="shared" si="4"/>
      </c>
      <c r="Y27" s="307">
        <f t="shared" si="4"/>
      </c>
      <c r="Z27" s="306"/>
      <c r="AA27" s="306"/>
      <c r="AB27" s="306"/>
      <c r="AC27" s="306"/>
      <c r="AD27" s="306"/>
    </row>
    <row r="28" spans="1:30" x14ac:dyDescent="0.25">
      <c r="A28" s="303">
        <f t="shared" si="5"/>
        <v>16</v>
      </c>
      <c r="B28" s="305"/>
      <c r="C28" s="305"/>
      <c r="D28" s="305"/>
      <c r="E28" s="305"/>
      <c r="F28" s="305"/>
      <c r="G28" s="305"/>
      <c r="H28" s="305"/>
      <c r="I28" s="305"/>
      <c r="J28" s="305"/>
      <c r="K28" s="305">
        <f t="shared" si="0"/>
      </c>
      <c r="L28" s="305"/>
      <c r="M28" s="305">
        <f t="shared" si="1"/>
      </c>
      <c r="N28" s="306"/>
      <c r="O28" s="307">
        <f t="shared" si="2"/>
      </c>
      <c r="P28" s="307">
        <f t="shared" si="2"/>
      </c>
      <c r="Q28" s="307">
        <f t="shared" si="2"/>
      </c>
      <c r="R28" s="306"/>
      <c r="S28" s="307">
        <f t="shared" si="3"/>
      </c>
      <c r="T28" s="307">
        <f t="shared" si="3"/>
      </c>
      <c r="U28" s="307">
        <f t="shared" si="3"/>
      </c>
      <c r="V28" s="306"/>
      <c r="W28" s="307">
        <f t="shared" si="4"/>
      </c>
      <c r="X28" s="307">
        <f t="shared" si="4"/>
      </c>
      <c r="Y28" s="307">
        <f t="shared" si="4"/>
      </c>
      <c r="Z28" s="306"/>
      <c r="AA28" s="306"/>
      <c r="AB28" s="306"/>
      <c r="AC28" s="306"/>
      <c r="AD28" s="306"/>
    </row>
    <row r="29" spans="1:30" x14ac:dyDescent="0.25">
      <c r="A29" s="303">
        <f t="shared" si="5"/>
        <v>17</v>
      </c>
      <c r="B29" s="305"/>
      <c r="C29" s="305"/>
      <c r="D29" s="305"/>
      <c r="E29" s="305"/>
      <c r="F29" s="305"/>
      <c r="G29" s="305"/>
      <c r="H29" s="305"/>
      <c r="I29" s="305"/>
      <c r="J29" s="305"/>
      <c r="K29" s="305">
        <f t="shared" si="0"/>
      </c>
      <c r="L29" s="305"/>
      <c r="M29" s="305">
        <f t="shared" si="1"/>
      </c>
      <c r="N29" s="306"/>
      <c r="O29" s="307">
        <f t="shared" si="2"/>
      </c>
      <c r="P29" s="307">
        <f t="shared" si="2"/>
      </c>
      <c r="Q29" s="307">
        <f t="shared" si="2"/>
      </c>
      <c r="R29" s="306"/>
      <c r="S29" s="307">
        <f t="shared" si="3"/>
      </c>
      <c r="T29" s="307">
        <f t="shared" si="3"/>
      </c>
      <c r="U29" s="307">
        <f t="shared" si="3"/>
      </c>
      <c r="V29" s="306"/>
      <c r="W29" s="307">
        <f t="shared" si="4"/>
      </c>
      <c r="X29" s="307">
        <f t="shared" si="4"/>
      </c>
      <c r="Y29" s="307">
        <f t="shared" si="4"/>
      </c>
      <c r="Z29" s="306"/>
      <c r="AA29" s="306"/>
      <c r="AB29" s="306"/>
      <c r="AC29" s="306"/>
      <c r="AD29" s="306"/>
    </row>
    <row r="30" spans="1:30" x14ac:dyDescent="0.25">
      <c r="A30" s="303">
        <f t="shared" si="5"/>
        <v>18</v>
      </c>
      <c r="B30" s="305"/>
      <c r="C30" s="305"/>
      <c r="D30" s="305"/>
      <c r="E30" s="305"/>
      <c r="F30" s="305"/>
      <c r="G30" s="305"/>
      <c r="H30" s="305"/>
      <c r="I30" s="305"/>
      <c r="J30" s="305"/>
      <c r="K30" s="305">
        <f t="shared" si="0"/>
      </c>
      <c r="L30" s="305"/>
      <c r="M30" s="305">
        <f t="shared" si="1"/>
      </c>
      <c r="N30" s="306"/>
      <c r="O30" s="307">
        <f t="shared" si="2"/>
      </c>
      <c r="P30" s="307">
        <f t="shared" si="2"/>
      </c>
      <c r="Q30" s="307">
        <f t="shared" si="2"/>
      </c>
      <c r="R30" s="306"/>
      <c r="S30" s="307">
        <f t="shared" si="3"/>
      </c>
      <c r="T30" s="307">
        <f t="shared" si="3"/>
      </c>
      <c r="U30" s="307">
        <f t="shared" si="3"/>
      </c>
      <c r="V30" s="306"/>
      <c r="W30" s="307">
        <f t="shared" si="4"/>
      </c>
      <c r="X30" s="307">
        <f t="shared" si="4"/>
      </c>
      <c r="Y30" s="307">
        <f t="shared" si="4"/>
      </c>
      <c r="Z30" s="306"/>
      <c r="AA30" s="306"/>
      <c r="AB30" s="306"/>
      <c r="AC30" s="306"/>
      <c r="AD30" s="306"/>
    </row>
    <row r="31" spans="1:30" x14ac:dyDescent="0.25">
      <c r="A31" s="303">
        <f t="shared" si="5"/>
        <v>19</v>
      </c>
      <c r="B31" s="305"/>
      <c r="C31" s="305"/>
      <c r="D31" s="305"/>
      <c r="E31" s="305"/>
      <c r="F31" s="305"/>
      <c r="G31" s="305"/>
      <c r="H31" s="305"/>
      <c r="I31" s="305"/>
      <c r="J31" s="305"/>
      <c r="K31" s="305">
        <f t="shared" si="0"/>
      </c>
      <c r="L31" s="305"/>
      <c r="M31" s="305">
        <f t="shared" si="1"/>
      </c>
      <c r="N31" s="306"/>
      <c r="O31" s="307">
        <f t="shared" si="2"/>
      </c>
      <c r="P31" s="307">
        <f t="shared" si="2"/>
      </c>
      <c r="Q31" s="307">
        <f t="shared" si="2"/>
      </c>
      <c r="R31" s="306"/>
      <c r="S31" s="307">
        <f t="shared" si="3"/>
      </c>
      <c r="T31" s="307">
        <f t="shared" si="3"/>
      </c>
      <c r="U31" s="307">
        <f t="shared" si="3"/>
      </c>
      <c r="V31" s="306"/>
      <c r="W31" s="307">
        <f t="shared" si="4"/>
      </c>
      <c r="X31" s="307">
        <f t="shared" si="4"/>
      </c>
      <c r="Y31" s="307">
        <f t="shared" si="4"/>
      </c>
      <c r="Z31" s="306"/>
      <c r="AA31" s="306"/>
      <c r="AB31" s="306"/>
      <c r="AC31" s="306"/>
      <c r="AD31" s="306"/>
    </row>
    <row r="32" spans="1:30" x14ac:dyDescent="0.25">
      <c r="A32" s="303">
        <f t="shared" si="5"/>
        <v>20</v>
      </c>
      <c r="B32" s="305"/>
      <c r="C32" s="305"/>
      <c r="D32" s="305"/>
      <c r="E32" s="305"/>
      <c r="F32" s="305"/>
      <c r="G32" s="305"/>
      <c r="H32" s="305"/>
      <c r="I32" s="305"/>
      <c r="J32" s="305"/>
      <c r="K32" s="305">
        <f t="shared" si="0"/>
      </c>
      <c r="L32" s="305"/>
      <c r="M32" s="305">
        <f t="shared" si="1"/>
      </c>
      <c r="N32" s="306"/>
      <c r="O32" s="307">
        <f t="shared" si="2"/>
      </c>
      <c r="P32" s="307">
        <f t="shared" si="2"/>
      </c>
      <c r="Q32" s="307">
        <f t="shared" si="2"/>
      </c>
      <c r="R32" s="306"/>
      <c r="S32" s="307">
        <f t="shared" si="3"/>
      </c>
      <c r="T32" s="307">
        <f t="shared" si="3"/>
      </c>
      <c r="U32" s="307">
        <f t="shared" si="3"/>
      </c>
      <c r="V32" s="306"/>
      <c r="W32" s="307">
        <f t="shared" si="4"/>
      </c>
      <c r="X32" s="307">
        <f t="shared" si="4"/>
      </c>
      <c r="Y32" s="307">
        <f t="shared" si="4"/>
      </c>
      <c r="Z32" s="306"/>
      <c r="AA32" s="306"/>
      <c r="AB32" s="306"/>
      <c r="AC32" s="306"/>
      <c r="AD32" s="306"/>
    </row>
    <row r="33" spans="1:30" x14ac:dyDescent="0.25">
      <c r="A33" s="303">
        <f t="shared" si="5"/>
        <v>21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>
        <f t="shared" si="0"/>
      </c>
      <c r="L33" s="305"/>
      <c r="M33" s="305">
        <f t="shared" si="1"/>
      </c>
      <c r="N33" s="306"/>
      <c r="O33" s="307">
        <f t="shared" si="2"/>
      </c>
      <c r="P33" s="307">
        <f t="shared" si="2"/>
      </c>
      <c r="Q33" s="307">
        <f t="shared" si="2"/>
      </c>
      <c r="R33" s="306"/>
      <c r="S33" s="307">
        <f t="shared" si="3"/>
      </c>
      <c r="T33" s="307">
        <f t="shared" si="3"/>
      </c>
      <c r="U33" s="307">
        <f t="shared" si="3"/>
      </c>
      <c r="V33" s="306"/>
      <c r="W33" s="307">
        <f t="shared" si="4"/>
      </c>
      <c r="X33" s="307">
        <f t="shared" si="4"/>
      </c>
      <c r="Y33" s="307">
        <f t="shared" si="4"/>
      </c>
      <c r="Z33" s="306"/>
      <c r="AA33" s="306"/>
      <c r="AB33" s="306"/>
      <c r="AC33" s="306"/>
      <c r="AD33" s="306"/>
    </row>
    <row r="34" spans="1:30" x14ac:dyDescent="0.25">
      <c r="A34" s="303">
        <f t="shared" si="5"/>
        <v>22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>
        <f t="shared" si="0"/>
      </c>
      <c r="L34" s="305"/>
      <c r="M34" s="305">
        <f t="shared" si="1"/>
      </c>
      <c r="N34" s="306"/>
      <c r="O34" s="307">
        <f t="shared" si="2"/>
      </c>
      <c r="P34" s="307">
        <f t="shared" si="2"/>
      </c>
      <c r="Q34" s="307">
        <f t="shared" si="2"/>
      </c>
      <c r="R34" s="306"/>
      <c r="S34" s="307">
        <f t="shared" si="3"/>
      </c>
      <c r="T34" s="307">
        <f t="shared" si="3"/>
      </c>
      <c r="U34" s="307">
        <f t="shared" si="3"/>
      </c>
      <c r="V34" s="306"/>
      <c r="W34" s="307">
        <f t="shared" si="4"/>
      </c>
      <c r="X34" s="307">
        <f t="shared" si="4"/>
      </c>
      <c r="Y34" s="307">
        <f t="shared" si="4"/>
      </c>
      <c r="Z34" s="306"/>
      <c r="AA34" s="306"/>
      <c r="AB34" s="306"/>
      <c r="AC34" s="306"/>
      <c r="AD34" s="306"/>
    </row>
    <row r="35" spans="1:30" x14ac:dyDescent="0.25">
      <c r="A35" s="303">
        <f t="shared" si="5"/>
        <v>23</v>
      </c>
      <c r="B35" s="305"/>
      <c r="C35" s="305"/>
      <c r="D35" s="305"/>
      <c r="E35" s="305"/>
      <c r="F35" s="305"/>
      <c r="G35" s="305"/>
      <c r="H35" s="305"/>
      <c r="I35" s="305"/>
      <c r="J35" s="305"/>
      <c r="K35" s="305">
        <f t="shared" si="0"/>
      </c>
      <c r="L35" s="305"/>
      <c r="M35" s="305">
        <f t="shared" si="1"/>
      </c>
      <c r="N35" s="306"/>
      <c r="O35" s="307">
        <f t="shared" si="2"/>
      </c>
      <c r="P35" s="307">
        <f t="shared" si="2"/>
      </c>
      <c r="Q35" s="307">
        <f t="shared" si="2"/>
      </c>
      <c r="R35" s="306"/>
      <c r="S35" s="307">
        <f t="shared" si="3"/>
      </c>
      <c r="T35" s="307">
        <f t="shared" si="3"/>
      </c>
      <c r="U35" s="307">
        <f t="shared" si="3"/>
      </c>
      <c r="V35" s="306"/>
      <c r="W35" s="307">
        <f t="shared" si="4"/>
      </c>
      <c r="X35" s="307">
        <f t="shared" si="4"/>
      </c>
      <c r="Y35" s="307">
        <f t="shared" si="4"/>
      </c>
      <c r="Z35" s="306"/>
      <c r="AA35" s="306"/>
      <c r="AB35" s="306"/>
      <c r="AC35" s="306"/>
      <c r="AD35" s="306"/>
    </row>
    <row r="36" spans="1:30" x14ac:dyDescent="0.25">
      <c r="A36" s="303">
        <f t="shared" si="5"/>
        <v>24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>
        <f t="shared" si="0"/>
      </c>
      <c r="L36" s="305"/>
      <c r="M36" s="305">
        <f t="shared" si="1"/>
      </c>
      <c r="N36" s="306"/>
      <c r="O36" s="307">
        <f t="shared" si="2"/>
      </c>
      <c r="P36" s="307">
        <f t="shared" si="2"/>
      </c>
      <c r="Q36" s="307">
        <f t="shared" si="2"/>
      </c>
      <c r="R36" s="306"/>
      <c r="S36" s="307">
        <f t="shared" si="3"/>
      </c>
      <c r="T36" s="307">
        <f t="shared" si="3"/>
      </c>
      <c r="U36" s="307">
        <f t="shared" si="3"/>
      </c>
      <c r="V36" s="306"/>
      <c r="W36" s="307">
        <f t="shared" si="4"/>
      </c>
      <c r="X36" s="307">
        <f t="shared" si="4"/>
      </c>
      <c r="Y36" s="307">
        <f t="shared" si="4"/>
      </c>
      <c r="Z36" s="306"/>
      <c r="AA36" s="306"/>
      <c r="AB36" s="306"/>
      <c r="AC36" s="306"/>
      <c r="AD36" s="306"/>
    </row>
    <row r="37" spans="1:30" x14ac:dyDescent="0.25">
      <c r="A37" s="303">
        <f t="shared" si="5"/>
        <v>25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>
        <f t="shared" si="0"/>
      </c>
      <c r="L37" s="305"/>
      <c r="M37" s="305">
        <f t="shared" si="1"/>
      </c>
      <c r="N37" s="306"/>
      <c r="O37" s="307">
        <f t="shared" si="2"/>
      </c>
      <c r="P37" s="307">
        <f t="shared" si="2"/>
      </c>
      <c r="Q37" s="307">
        <f t="shared" si="2"/>
      </c>
      <c r="R37" s="306"/>
      <c r="S37" s="307">
        <f t="shared" si="3"/>
      </c>
      <c r="T37" s="307">
        <f t="shared" si="3"/>
      </c>
      <c r="U37" s="307">
        <f t="shared" si="3"/>
      </c>
      <c r="V37" s="306"/>
      <c r="W37" s="307">
        <f t="shared" si="4"/>
      </c>
      <c r="X37" s="307">
        <f t="shared" si="4"/>
      </c>
      <c r="Y37" s="307">
        <f t="shared" si="4"/>
      </c>
      <c r="Z37" s="306"/>
      <c r="AA37" s="306"/>
      <c r="AB37" s="306"/>
      <c r="AC37" s="306"/>
      <c r="AD37" s="306"/>
    </row>
    <row r="38" spans="1:30" x14ac:dyDescent="0.25">
      <c r="A38" s="303">
        <f t="shared" si="5"/>
        <v>26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>
        <f t="shared" si="0"/>
      </c>
      <c r="L38" s="305"/>
      <c r="M38" s="305">
        <f t="shared" si="1"/>
      </c>
      <c r="N38" s="306"/>
      <c r="O38" s="307">
        <f t="shared" si="2"/>
      </c>
      <c r="P38" s="307">
        <f t="shared" si="2"/>
      </c>
      <c r="Q38" s="307">
        <f t="shared" si="2"/>
      </c>
      <c r="R38" s="306"/>
      <c r="S38" s="307">
        <f t="shared" si="3"/>
      </c>
      <c r="T38" s="307">
        <f t="shared" si="3"/>
      </c>
      <c r="U38" s="307">
        <f t="shared" si="3"/>
      </c>
      <c r="V38" s="306"/>
      <c r="W38" s="307">
        <f t="shared" si="4"/>
      </c>
      <c r="X38" s="307">
        <f t="shared" si="4"/>
      </c>
      <c r="Y38" s="307">
        <f t="shared" si="4"/>
      </c>
      <c r="Z38" s="306"/>
      <c r="AA38" s="306"/>
      <c r="AB38" s="306"/>
      <c r="AC38" s="306"/>
      <c r="AD38" s="306"/>
    </row>
    <row r="39" spans="1:30" x14ac:dyDescent="0.25">
      <c r="A39" s="303">
        <f t="shared" si="5"/>
        <v>27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>
        <f t="shared" si="0"/>
      </c>
      <c r="L39" s="305"/>
      <c r="M39" s="305">
        <f t="shared" si="1"/>
      </c>
      <c r="N39" s="306"/>
      <c r="O39" s="307">
        <f t="shared" si="2"/>
      </c>
      <c r="P39" s="307">
        <f t="shared" si="2"/>
      </c>
      <c r="Q39" s="307">
        <f t="shared" si="2"/>
      </c>
      <c r="R39" s="306"/>
      <c r="S39" s="307">
        <f t="shared" si="3"/>
      </c>
      <c r="T39" s="307">
        <f t="shared" si="3"/>
      </c>
      <c r="U39" s="307">
        <f t="shared" si="3"/>
      </c>
      <c r="V39" s="306"/>
      <c r="W39" s="307">
        <f t="shared" si="4"/>
      </c>
      <c r="X39" s="307">
        <f t="shared" si="4"/>
      </c>
      <c r="Y39" s="307">
        <f t="shared" si="4"/>
      </c>
      <c r="Z39" s="306"/>
      <c r="AA39" s="306"/>
      <c r="AB39" s="306"/>
      <c r="AC39" s="306"/>
      <c r="AD39" s="306"/>
    </row>
    <row r="40" spans="1:30" x14ac:dyDescent="0.25">
      <c r="A40" s="303">
        <f t="shared" si="5"/>
        <v>28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05">
        <f t="shared" si="0"/>
      </c>
      <c r="L40" s="305"/>
      <c r="M40" s="305">
        <f t="shared" si="1"/>
      </c>
      <c r="N40" s="306"/>
      <c r="O40" s="307">
        <f t="shared" si="2"/>
      </c>
      <c r="P40" s="307">
        <f t="shared" si="2"/>
      </c>
      <c r="Q40" s="307">
        <f t="shared" si="2"/>
      </c>
      <c r="R40" s="306"/>
      <c r="S40" s="307">
        <f t="shared" si="3"/>
      </c>
      <c r="T40" s="307">
        <f t="shared" si="3"/>
      </c>
      <c r="U40" s="307">
        <f t="shared" si="3"/>
      </c>
      <c r="V40" s="306"/>
      <c r="W40" s="307">
        <f t="shared" si="4"/>
      </c>
      <c r="X40" s="307">
        <f t="shared" si="4"/>
      </c>
      <c r="Y40" s="307">
        <f t="shared" si="4"/>
      </c>
      <c r="Z40" s="306"/>
      <c r="AA40" s="306"/>
      <c r="AB40" s="306"/>
      <c r="AC40" s="306"/>
      <c r="AD40" s="306"/>
    </row>
    <row r="41" spans="1:30" x14ac:dyDescent="0.25">
      <c r="A41" s="303">
        <f t="shared" si="5"/>
        <v>29</v>
      </c>
      <c r="B41" s="305"/>
      <c r="C41" s="305"/>
      <c r="D41" s="305"/>
      <c r="E41" s="305"/>
      <c r="F41" s="305"/>
      <c r="G41" s="305"/>
      <c r="H41" s="305"/>
      <c r="I41" s="305"/>
      <c r="J41" s="305"/>
      <c r="K41" s="305">
        <f t="shared" si="0"/>
      </c>
      <c r="L41" s="305"/>
      <c r="M41" s="305">
        <f t="shared" si="1"/>
      </c>
      <c r="N41" s="306"/>
      <c r="O41" s="307">
        <f t="shared" si="2"/>
      </c>
      <c r="P41" s="307">
        <f t="shared" si="2"/>
      </c>
      <c r="Q41" s="307">
        <f t="shared" si="2"/>
      </c>
      <c r="R41" s="306"/>
      <c r="S41" s="307">
        <f t="shared" si="3"/>
      </c>
      <c r="T41" s="307">
        <f t="shared" si="3"/>
      </c>
      <c r="U41" s="307">
        <f t="shared" si="3"/>
      </c>
      <c r="V41" s="306"/>
      <c r="W41" s="307">
        <f t="shared" si="4"/>
      </c>
      <c r="X41" s="307">
        <f t="shared" si="4"/>
      </c>
      <c r="Y41" s="307">
        <f t="shared" si="4"/>
      </c>
      <c r="Z41" s="306"/>
      <c r="AA41" s="306"/>
      <c r="AB41" s="306"/>
      <c r="AC41" s="306"/>
      <c r="AD41" s="306"/>
    </row>
    <row r="42" spans="1:30" x14ac:dyDescent="0.25">
      <c r="A42" s="303">
        <f t="shared" si="5"/>
        <v>30</v>
      </c>
      <c r="B42" s="305"/>
      <c r="C42" s="305"/>
      <c r="D42" s="305"/>
      <c r="E42" s="305"/>
      <c r="F42" s="305"/>
      <c r="G42" s="305"/>
      <c r="H42" s="305"/>
      <c r="I42" s="305"/>
      <c r="J42" s="305"/>
      <c r="K42" s="305">
        <f t="shared" si="0"/>
      </c>
      <c r="L42" s="305"/>
      <c r="M42" s="305">
        <f t="shared" si="1"/>
      </c>
      <c r="N42" s="306"/>
      <c r="O42" s="307">
        <f t="shared" si="2"/>
      </c>
      <c r="P42" s="307">
        <f t="shared" si="2"/>
      </c>
      <c r="Q42" s="307">
        <f t="shared" si="2"/>
      </c>
      <c r="R42" s="306"/>
      <c r="S42" s="307">
        <f t="shared" si="3"/>
      </c>
      <c r="T42" s="307">
        <f t="shared" si="3"/>
      </c>
      <c r="U42" s="307">
        <f t="shared" si="3"/>
      </c>
      <c r="V42" s="306"/>
      <c r="W42" s="307">
        <f t="shared" si="4"/>
      </c>
      <c r="X42" s="307">
        <f t="shared" si="4"/>
      </c>
      <c r="Y42" s="307">
        <f t="shared" si="4"/>
      </c>
      <c r="Z42" s="306"/>
      <c r="AA42" s="306"/>
      <c r="AB42" s="306"/>
      <c r="AC42" s="306"/>
      <c r="AD42" s="306"/>
    </row>
    <row r="43" spans="1:30" x14ac:dyDescent="0.25">
      <c r="A43" s="303">
        <f t="shared" si="5"/>
        <v>31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>
        <f t="shared" si="0"/>
      </c>
      <c r="L43" s="305"/>
      <c r="M43" s="305">
        <f t="shared" si="1"/>
      </c>
      <c r="N43" s="306"/>
      <c r="O43" s="307">
        <f t="shared" si="2"/>
      </c>
      <c r="P43" s="307">
        <f t="shared" si="2"/>
      </c>
      <c r="Q43" s="307">
        <f t="shared" si="2"/>
      </c>
      <c r="R43" s="306"/>
      <c r="S43" s="307">
        <f t="shared" si="3"/>
      </c>
      <c r="T43" s="307">
        <f t="shared" si="3"/>
      </c>
      <c r="U43" s="307">
        <f t="shared" si="3"/>
      </c>
      <c r="V43" s="306"/>
      <c r="W43" s="307">
        <f t="shared" si="4"/>
      </c>
      <c r="X43" s="307">
        <f t="shared" si="4"/>
      </c>
      <c r="Y43" s="307">
        <f t="shared" si="4"/>
      </c>
      <c r="Z43" s="306"/>
      <c r="AA43" s="306"/>
      <c r="AB43" s="306"/>
      <c r="AC43" s="306"/>
      <c r="AD43" s="306"/>
    </row>
    <row r="44" spans="1:30" x14ac:dyDescent="0.25">
      <c r="A44" s="303">
        <f t="shared" si="5"/>
        <v>32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>
        <f t="shared" si="0"/>
      </c>
      <c r="L44" s="305"/>
      <c r="M44" s="305">
        <f t="shared" si="1"/>
      </c>
      <c r="N44" s="306"/>
      <c r="O44" s="307">
        <f t="shared" si="2"/>
      </c>
      <c r="P44" s="307">
        <f t="shared" si="2"/>
      </c>
      <c r="Q44" s="307">
        <f t="shared" si="2"/>
      </c>
      <c r="R44" s="306"/>
      <c r="S44" s="307">
        <f t="shared" si="3"/>
      </c>
      <c r="T44" s="307">
        <f t="shared" si="3"/>
      </c>
      <c r="U44" s="307">
        <f t="shared" si="3"/>
      </c>
      <c r="V44" s="306"/>
      <c r="W44" s="307">
        <f t="shared" si="4"/>
      </c>
      <c r="X44" s="307">
        <f t="shared" si="4"/>
      </c>
      <c r="Y44" s="307">
        <f t="shared" si="4"/>
      </c>
      <c r="Z44" s="306"/>
      <c r="AA44" s="306"/>
      <c r="AB44" s="306"/>
      <c r="AC44" s="306"/>
      <c r="AD44" s="306"/>
    </row>
    <row r="45" spans="1:30" x14ac:dyDescent="0.25">
      <c r="A45" s="303">
        <f t="shared" si="5"/>
        <v>33</v>
      </c>
      <c r="B45" s="305"/>
      <c r="C45" s="305"/>
      <c r="D45" s="305"/>
      <c r="E45" s="305"/>
      <c r="F45" s="305"/>
      <c r="G45" s="305"/>
      <c r="H45" s="305"/>
      <c r="I45" s="305"/>
      <c r="J45" s="305"/>
      <c r="K45" s="305">
        <f t="shared" si="0"/>
      </c>
      <c r="L45" s="305"/>
      <c r="M45" s="305">
        <f t="shared" si="1"/>
      </c>
      <c r="N45" s="306"/>
      <c r="O45" s="307">
        <f t="shared" si="2"/>
      </c>
      <c r="P45" s="307">
        <f t="shared" si="2"/>
      </c>
      <c r="Q45" s="307">
        <f t="shared" si="2"/>
      </c>
      <c r="R45" s="306"/>
      <c r="S45" s="307">
        <f t="shared" si="3"/>
      </c>
      <c r="T45" s="307">
        <f t="shared" si="3"/>
      </c>
      <c r="U45" s="307">
        <f t="shared" si="3"/>
      </c>
      <c r="V45" s="306"/>
      <c r="W45" s="307">
        <f t="shared" si="4"/>
      </c>
      <c r="X45" s="307">
        <f t="shared" si="4"/>
      </c>
      <c r="Y45" s="307">
        <f t="shared" si="4"/>
      </c>
      <c r="Z45" s="306"/>
      <c r="AA45" s="306"/>
      <c r="AB45" s="306"/>
      <c r="AC45" s="306"/>
      <c r="AD45" s="306"/>
    </row>
    <row r="46" spans="1:30" x14ac:dyDescent="0.25">
      <c r="A46" s="303">
        <f t="shared" si="5"/>
        <v>34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>
        <f t="shared" si="0"/>
      </c>
      <c r="L46" s="305"/>
      <c r="M46" s="305">
        <f t="shared" si="1"/>
      </c>
      <c r="N46" s="306"/>
      <c r="O46" s="307">
        <f t="shared" si="2"/>
      </c>
      <c r="P46" s="307">
        <f t="shared" si="2"/>
      </c>
      <c r="Q46" s="307">
        <f t="shared" si="2"/>
      </c>
      <c r="R46" s="306"/>
      <c r="S46" s="307">
        <f t="shared" si="3"/>
      </c>
      <c r="T46" s="307">
        <f t="shared" si="3"/>
      </c>
      <c r="U46" s="307">
        <f t="shared" si="3"/>
      </c>
      <c r="V46" s="306"/>
      <c r="W46" s="307">
        <f t="shared" si="4"/>
      </c>
      <c r="X46" s="307">
        <f t="shared" si="4"/>
      </c>
      <c r="Y46" s="307">
        <f t="shared" si="4"/>
      </c>
      <c r="Z46" s="306"/>
      <c r="AA46" s="306"/>
      <c r="AB46" s="306"/>
      <c r="AC46" s="306"/>
      <c r="AD46" s="306"/>
    </row>
    <row r="47" spans="1:30" x14ac:dyDescent="0.25">
      <c r="A47" s="303">
        <f t="shared" si="5"/>
        <v>35</v>
      </c>
      <c r="B47" s="305"/>
      <c r="C47" s="305"/>
      <c r="D47" s="305"/>
      <c r="E47" s="305"/>
      <c r="F47" s="305"/>
      <c r="G47" s="305"/>
      <c r="H47" s="305"/>
      <c r="I47" s="305"/>
      <c r="J47" s="305"/>
      <c r="K47" s="305">
        <f t="shared" si="0"/>
      </c>
      <c r="L47" s="305"/>
      <c r="M47" s="305">
        <f t="shared" si="1"/>
      </c>
      <c r="N47" s="306"/>
      <c r="O47" s="307">
        <f t="shared" si="2"/>
      </c>
      <c r="P47" s="307">
        <f t="shared" si="2"/>
      </c>
      <c r="Q47" s="307">
        <f t="shared" si="2"/>
      </c>
      <c r="R47" s="306"/>
      <c r="S47" s="307">
        <f t="shared" si="3"/>
      </c>
      <c r="T47" s="307">
        <f t="shared" si="3"/>
      </c>
      <c r="U47" s="307">
        <f t="shared" si="3"/>
      </c>
      <c r="V47" s="306"/>
      <c r="W47" s="307">
        <f t="shared" si="4"/>
      </c>
      <c r="X47" s="307">
        <f t="shared" si="4"/>
      </c>
      <c r="Y47" s="307">
        <f t="shared" si="4"/>
      </c>
      <c r="Z47" s="306"/>
      <c r="AA47" s="306"/>
      <c r="AB47" s="306"/>
      <c r="AC47" s="306"/>
      <c r="AD47" s="306"/>
    </row>
    <row r="48" spans="1:30" x14ac:dyDescent="0.25">
      <c r="A48" s="303">
        <f t="shared" si="5"/>
        <v>36</v>
      </c>
      <c r="B48" s="305"/>
      <c r="C48" s="305"/>
      <c r="D48" s="305"/>
      <c r="E48" s="305"/>
      <c r="F48" s="305"/>
      <c r="G48" s="305"/>
      <c r="H48" s="305"/>
      <c r="I48" s="305"/>
      <c r="J48" s="305"/>
      <c r="K48" s="305">
        <f t="shared" si="0"/>
      </c>
      <c r="L48" s="305"/>
      <c r="M48" s="305">
        <f t="shared" si="1"/>
      </c>
      <c r="N48" s="306"/>
      <c r="O48" s="307">
        <f t="shared" si="2"/>
      </c>
      <c r="P48" s="307">
        <f t="shared" si="2"/>
      </c>
      <c r="Q48" s="307">
        <f t="shared" si="2"/>
      </c>
      <c r="R48" s="306"/>
      <c r="S48" s="307">
        <f t="shared" si="3"/>
      </c>
      <c r="T48" s="307">
        <f t="shared" si="3"/>
      </c>
      <c r="U48" s="307">
        <f t="shared" si="3"/>
      </c>
      <c r="V48" s="306"/>
      <c r="W48" s="307">
        <f t="shared" si="4"/>
      </c>
      <c r="X48" s="307">
        <f t="shared" si="4"/>
      </c>
      <c r="Y48" s="307">
        <f t="shared" si="4"/>
      </c>
      <c r="Z48" s="306"/>
      <c r="AA48" s="306"/>
      <c r="AB48" s="306"/>
      <c r="AC48" s="306"/>
      <c r="AD48" s="306"/>
    </row>
    <row r="49" spans="1:30" x14ac:dyDescent="0.25">
      <c r="A49" s="303">
        <f t="shared" si="5"/>
        <v>37</v>
      </c>
      <c r="B49" s="305"/>
      <c r="C49" s="305"/>
      <c r="D49" s="305"/>
      <c r="E49" s="305"/>
      <c r="F49" s="305"/>
      <c r="G49" s="305"/>
      <c r="H49" s="305"/>
      <c r="I49" s="305"/>
      <c r="J49" s="305"/>
      <c r="K49" s="305">
        <f t="shared" si="0"/>
      </c>
      <c r="L49" s="305"/>
      <c r="M49" s="305">
        <f t="shared" si="1"/>
      </c>
      <c r="N49" s="306"/>
      <c r="O49" s="307">
        <f t="shared" si="2"/>
      </c>
      <c r="P49" s="307">
        <f t="shared" si="2"/>
      </c>
      <c r="Q49" s="307">
        <f t="shared" si="2"/>
      </c>
      <c r="R49" s="306"/>
      <c r="S49" s="307">
        <f t="shared" si="3"/>
      </c>
      <c r="T49" s="307">
        <f t="shared" si="3"/>
      </c>
      <c r="U49" s="307">
        <f t="shared" si="3"/>
      </c>
      <c r="V49" s="306"/>
      <c r="W49" s="307">
        <f t="shared" si="4"/>
      </c>
      <c r="X49" s="307">
        <f t="shared" si="4"/>
      </c>
      <c r="Y49" s="307">
        <f t="shared" si="4"/>
      </c>
      <c r="Z49" s="306"/>
      <c r="AA49" s="306"/>
      <c r="AB49" s="306"/>
      <c r="AC49" s="306"/>
      <c r="AD49" s="306"/>
    </row>
    <row r="50" spans="1:30" x14ac:dyDescent="0.25">
      <c r="A50" s="303">
        <f t="shared" si="5"/>
        <v>38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>
        <f t="shared" si="0"/>
      </c>
      <c r="L50" s="305"/>
      <c r="M50" s="305">
        <f t="shared" si="1"/>
      </c>
      <c r="N50" s="306"/>
      <c r="O50" s="307">
        <f t="shared" si="2"/>
      </c>
      <c r="P50" s="307">
        <f t="shared" si="2"/>
      </c>
      <c r="Q50" s="307">
        <f t="shared" si="2"/>
      </c>
      <c r="R50" s="306"/>
      <c r="S50" s="307">
        <f t="shared" si="3"/>
      </c>
      <c r="T50" s="307">
        <f t="shared" si="3"/>
      </c>
      <c r="U50" s="307">
        <f t="shared" si="3"/>
      </c>
      <c r="V50" s="306"/>
      <c r="W50" s="307">
        <f t="shared" si="4"/>
      </c>
      <c r="X50" s="307">
        <f t="shared" si="4"/>
      </c>
      <c r="Y50" s="307">
        <f t="shared" si="4"/>
      </c>
      <c r="Z50" s="306"/>
      <c r="AA50" s="306"/>
      <c r="AB50" s="306"/>
      <c r="AC50" s="306"/>
      <c r="AD50" s="306"/>
    </row>
    <row r="51" spans="1:30" x14ac:dyDescent="0.25">
      <c r="A51" s="303">
        <f t="shared" si="5"/>
        <v>39</v>
      </c>
      <c r="B51" s="305"/>
      <c r="C51" s="305"/>
      <c r="D51" s="305"/>
      <c r="E51" s="305"/>
      <c r="F51" s="305"/>
      <c r="G51" s="305"/>
      <c r="H51" s="305"/>
      <c r="I51" s="305"/>
      <c r="J51" s="305"/>
      <c r="K51" s="305">
        <f t="shared" si="0"/>
      </c>
      <c r="L51" s="305"/>
      <c r="M51" s="305">
        <f t="shared" si="1"/>
      </c>
      <c r="N51" s="306"/>
      <c r="O51" s="307">
        <f t="shared" si="2"/>
      </c>
      <c r="P51" s="307">
        <f t="shared" si="2"/>
      </c>
      <c r="Q51" s="307">
        <f t="shared" si="2"/>
      </c>
      <c r="R51" s="306"/>
      <c r="S51" s="307">
        <f t="shared" si="3"/>
      </c>
      <c r="T51" s="307">
        <f t="shared" si="3"/>
      </c>
      <c r="U51" s="307">
        <f t="shared" si="3"/>
      </c>
      <c r="V51" s="306"/>
      <c r="W51" s="307">
        <f t="shared" si="4"/>
      </c>
      <c r="X51" s="307">
        <f t="shared" si="4"/>
      </c>
      <c r="Y51" s="307">
        <f t="shared" si="4"/>
      </c>
      <c r="Z51" s="306"/>
      <c r="AA51" s="306"/>
      <c r="AB51" s="306"/>
      <c r="AC51" s="306"/>
      <c r="AD51" s="306"/>
    </row>
    <row r="52" spans="1:30" x14ac:dyDescent="0.25">
      <c r="A52" s="303">
        <f t="shared" si="5"/>
        <v>40</v>
      </c>
      <c r="B52" s="305"/>
      <c r="C52" s="305"/>
      <c r="D52" s="305"/>
      <c r="E52" s="305"/>
      <c r="F52" s="305"/>
      <c r="G52" s="305"/>
      <c r="H52" s="305"/>
      <c r="I52" s="305"/>
      <c r="J52" s="305"/>
      <c r="K52" s="305">
        <f t="shared" si="0"/>
      </c>
      <c r="L52" s="305"/>
      <c r="M52" s="305">
        <f t="shared" si="1"/>
      </c>
      <c r="N52" s="306"/>
      <c r="O52" s="307">
        <f t="shared" si="2"/>
      </c>
      <c r="P52" s="307">
        <f t="shared" si="2"/>
      </c>
      <c r="Q52" s="307">
        <f t="shared" si="2"/>
      </c>
      <c r="R52" s="306"/>
      <c r="S52" s="307">
        <f t="shared" si="3"/>
      </c>
      <c r="T52" s="307">
        <f t="shared" si="3"/>
      </c>
      <c r="U52" s="307">
        <f t="shared" si="3"/>
      </c>
      <c r="V52" s="306"/>
      <c r="W52" s="307">
        <f t="shared" si="4"/>
      </c>
      <c r="X52" s="307">
        <f t="shared" si="4"/>
      </c>
      <c r="Y52" s="307">
        <f t="shared" si="4"/>
      </c>
      <c r="Z52" s="306"/>
      <c r="AA52" s="306"/>
      <c r="AB52" s="306"/>
      <c r="AC52" s="306"/>
      <c r="AD52" s="306"/>
    </row>
    <row r="53" spans="1:30" x14ac:dyDescent="0.25">
      <c r="A53" s="308"/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6"/>
      <c r="O53" s="307"/>
      <c r="P53" s="307"/>
      <c r="Q53" s="307"/>
      <c r="R53" s="306"/>
      <c r="S53" s="307"/>
      <c r="T53" s="307"/>
      <c r="U53" s="307"/>
      <c r="V53" s="306"/>
      <c r="W53" s="307"/>
      <c r="X53" s="307"/>
      <c r="Y53" s="307"/>
      <c r="Z53" s="306"/>
      <c r="AA53" s="306"/>
      <c r="AB53" s="306"/>
      <c r="AC53" s="306"/>
      <c r="AD53" s="306"/>
    </row>
    <row r="54" spans="1:30" x14ac:dyDescent="0.25">
      <c r="A54" s="310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6"/>
      <c r="O54" s="307"/>
      <c r="P54" s="307"/>
      <c r="Q54" s="307"/>
      <c r="R54" s="306"/>
      <c r="S54" s="307"/>
      <c r="T54" s="307"/>
      <c r="U54" s="307"/>
      <c r="V54" s="306"/>
      <c r="W54" s="307"/>
      <c r="X54" s="307"/>
      <c r="Y54" s="307"/>
      <c r="Z54" s="306"/>
      <c r="AA54" s="306"/>
      <c r="AB54" s="306"/>
      <c r="AC54" s="306"/>
      <c r="AD54" s="306"/>
    </row>
    <row r="55" ht="15.75" customHeight="1" spans="1:30" x14ac:dyDescent="0.25">
      <c r="A55" s="300" t="s">
        <v>276</v>
      </c>
      <c r="B55" s="300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6"/>
      <c r="O55" s="307"/>
      <c r="P55" s="307"/>
      <c r="Q55" s="307"/>
      <c r="R55" s="306"/>
      <c r="S55" s="307"/>
      <c r="T55" s="307"/>
      <c r="U55" s="307"/>
      <c r="V55" s="306"/>
      <c r="W55" s="307"/>
      <c r="X55" s="307"/>
      <c r="Y55" s="307"/>
      <c r="Z55" s="306"/>
      <c r="AA55" s="306"/>
      <c r="AB55" s="306"/>
      <c r="AC55" s="306"/>
      <c r="AD55" s="306"/>
    </row>
    <row r="56" ht="25.5" customHeight="1" spans="1:30" x14ac:dyDescent="0.25">
      <c r="A56" s="303" t="s">
        <v>263</v>
      </c>
      <c r="B56" s="303" t="s">
        <v>264</v>
      </c>
      <c r="C56" s="303" t="s">
        <v>265</v>
      </c>
      <c r="D56" s="303" t="s">
        <v>266</v>
      </c>
      <c r="E56" s="303" t="s">
        <v>267</v>
      </c>
      <c r="F56" s="303" t="s">
        <v>268</v>
      </c>
      <c r="G56" s="303" t="s">
        <v>269</v>
      </c>
      <c r="H56" s="303" t="s">
        <v>270</v>
      </c>
      <c r="I56" s="303" t="s">
        <v>271</v>
      </c>
      <c r="J56" s="303" t="s">
        <v>272</v>
      </c>
      <c r="K56" s="303" t="s">
        <v>273</v>
      </c>
      <c r="L56" s="304" t="s">
        <v>274</v>
      </c>
      <c r="M56" s="303" t="s">
        <v>275</v>
      </c>
      <c r="N56" s="306"/>
      <c r="O56" s="307"/>
      <c r="P56" s="307"/>
      <c r="Q56" s="307"/>
      <c r="R56" s="306"/>
      <c r="S56" s="307"/>
      <c r="T56" s="307"/>
      <c r="U56" s="307"/>
      <c r="V56" s="306"/>
      <c r="W56" s="307"/>
      <c r="X56" s="307"/>
      <c r="Y56" s="307"/>
      <c r="Z56" s="306"/>
      <c r="AA56" s="306"/>
      <c r="AB56" s="306"/>
      <c r="AC56" s="306"/>
      <c r="AD56" s="306"/>
    </row>
    <row r="57" spans="1:30" x14ac:dyDescent="0.25">
      <c r="A57" s="303">
        <f>A52+1</f>
        <v>41</v>
      </c>
      <c r="B57" s="305"/>
      <c r="C57" s="305"/>
      <c r="D57" s="305"/>
      <c r="E57" s="305"/>
      <c r="F57" s="305"/>
      <c r="G57" s="305"/>
      <c r="H57" s="305"/>
      <c r="I57" s="305"/>
      <c r="J57" s="305"/>
      <c r="K57" s="305">
        <f t="shared" ref="K57:K66" si="6">IF(L57&lt;&gt;"",IF(OR(L57&lt;$H$9,L57&gt;$E$9),0,1),"")</f>
      </c>
      <c r="L57" s="305"/>
      <c r="M57" s="305">
        <f t="shared" ref="M57:M66" si="7">IF(B57&lt;&gt;"",IF(SUM(B57:J57)=9,"+",IF(SUM(B57:J57)=0,"-","x")),"")</f>
      </c>
      <c r="N57" s="306"/>
      <c r="O57" s="307">
        <f t="shared" ref="O57:Q66" si="8">IF(B57&lt;&gt;"",IF(AND(B57=0,E57=0),"a",IF(AND(B57=1,E57=0),"b",IF(AND(B57=0,E57=1),"c","d"))),"")</f>
      </c>
      <c r="P57" s="307">
        <f t="shared" si="8"/>
      </c>
      <c r="Q57" s="307">
        <f t="shared" si="8"/>
      </c>
      <c r="R57" s="306"/>
      <c r="S57" s="307">
        <f t="shared" ref="S57:U66" si="9">IF(E57&lt;&gt;"",IF(AND(E57=0,H57=0),"a",IF(AND(E57=1,H57=0),"b",IF(AND(E57=0,H57=1),"c","d"))),"")</f>
      </c>
      <c r="T57" s="307">
        <f t="shared" si="9"/>
      </c>
      <c r="U57" s="307">
        <f t="shared" si="9"/>
      </c>
      <c r="V57" s="306"/>
      <c r="W57" s="307">
        <f t="shared" ref="W57:Y66" si="10">IF(B57&lt;&gt;"",IF(AND(B57=0,H57=0),"a",IF(AND(B57=1,H57=0),"b",IF(AND(B57=0,H57=1),"c","d"))),"")</f>
      </c>
      <c r="X57" s="307">
        <f t="shared" si="10"/>
      </c>
      <c r="Y57" s="307">
        <f t="shared" si="10"/>
      </c>
      <c r="Z57" s="306"/>
      <c r="AA57" s="306"/>
      <c r="AB57" s="306"/>
      <c r="AC57" s="306"/>
      <c r="AD57" s="306"/>
    </row>
    <row r="58" spans="1:30" x14ac:dyDescent="0.25">
      <c r="A58" s="303">
        <f t="shared" si="5"/>
        <v>42</v>
      </c>
      <c r="B58" s="305"/>
      <c r="C58" s="305"/>
      <c r="D58" s="305"/>
      <c r="E58" s="305"/>
      <c r="F58" s="305"/>
      <c r="G58" s="305"/>
      <c r="H58" s="305"/>
      <c r="I58" s="305"/>
      <c r="J58" s="305"/>
      <c r="K58" s="305">
        <f t="shared" si="6"/>
      </c>
      <c r="L58" s="305"/>
      <c r="M58" s="305">
        <f t="shared" si="7"/>
      </c>
      <c r="N58" s="306"/>
      <c r="O58" s="307">
        <f t="shared" si="8"/>
      </c>
      <c r="P58" s="307">
        <f t="shared" si="8"/>
      </c>
      <c r="Q58" s="307">
        <f t="shared" si="8"/>
      </c>
      <c r="R58" s="306"/>
      <c r="S58" s="307">
        <f t="shared" si="9"/>
      </c>
      <c r="T58" s="307">
        <f t="shared" si="9"/>
      </c>
      <c r="U58" s="307">
        <f t="shared" si="9"/>
      </c>
      <c r="V58" s="306"/>
      <c r="W58" s="307">
        <f t="shared" si="10"/>
      </c>
      <c r="X58" s="307">
        <f t="shared" si="10"/>
      </c>
      <c r="Y58" s="307">
        <f t="shared" si="10"/>
      </c>
      <c r="Z58" s="306"/>
      <c r="AA58" s="306"/>
      <c r="AB58" s="306"/>
      <c r="AC58" s="306"/>
      <c r="AD58" s="306"/>
    </row>
    <row r="59" spans="1:30" x14ac:dyDescent="0.25">
      <c r="A59" s="303">
        <f t="shared" si="5"/>
        <v>43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05">
        <f t="shared" si="6"/>
      </c>
      <c r="L59" s="305"/>
      <c r="M59" s="305">
        <f t="shared" si="7"/>
      </c>
      <c r="N59" s="306"/>
      <c r="O59" s="307">
        <f t="shared" si="8"/>
      </c>
      <c r="P59" s="307">
        <f t="shared" si="8"/>
      </c>
      <c r="Q59" s="307">
        <f t="shared" si="8"/>
      </c>
      <c r="R59" s="306"/>
      <c r="S59" s="307">
        <f t="shared" si="9"/>
      </c>
      <c r="T59" s="307">
        <f t="shared" si="9"/>
      </c>
      <c r="U59" s="307">
        <f t="shared" si="9"/>
      </c>
      <c r="V59" s="306"/>
      <c r="W59" s="307">
        <f t="shared" si="10"/>
      </c>
      <c r="X59" s="307">
        <f t="shared" si="10"/>
      </c>
      <c r="Y59" s="307">
        <f t="shared" si="10"/>
      </c>
      <c r="Z59" s="306"/>
      <c r="AA59" s="306"/>
      <c r="AB59" s="306"/>
      <c r="AC59" s="306"/>
      <c r="AD59" s="306"/>
    </row>
    <row r="60" spans="1:30" x14ac:dyDescent="0.25">
      <c r="A60" s="303">
        <f t="shared" si="5"/>
        <v>44</v>
      </c>
      <c r="B60" s="305"/>
      <c r="C60" s="305"/>
      <c r="D60" s="305"/>
      <c r="E60" s="305"/>
      <c r="F60" s="305"/>
      <c r="G60" s="305"/>
      <c r="H60" s="305"/>
      <c r="I60" s="305"/>
      <c r="J60" s="305"/>
      <c r="K60" s="305">
        <f t="shared" si="6"/>
      </c>
      <c r="L60" s="305"/>
      <c r="M60" s="305">
        <f t="shared" si="7"/>
      </c>
      <c r="N60" s="306"/>
      <c r="O60" s="307">
        <f t="shared" si="8"/>
      </c>
      <c r="P60" s="307">
        <f t="shared" si="8"/>
      </c>
      <c r="Q60" s="307">
        <f t="shared" si="8"/>
      </c>
      <c r="R60" s="306"/>
      <c r="S60" s="307">
        <f t="shared" si="9"/>
      </c>
      <c r="T60" s="307">
        <f t="shared" si="9"/>
      </c>
      <c r="U60" s="307">
        <f t="shared" si="9"/>
      </c>
      <c r="V60" s="306"/>
      <c r="W60" s="307">
        <f t="shared" si="10"/>
      </c>
      <c r="X60" s="307">
        <f t="shared" si="10"/>
      </c>
      <c r="Y60" s="307">
        <f t="shared" si="10"/>
      </c>
      <c r="Z60" s="306"/>
      <c r="AA60" s="306"/>
      <c r="AB60" s="306"/>
      <c r="AC60" s="306"/>
      <c r="AD60" s="306"/>
    </row>
    <row r="61" spans="1:30" x14ac:dyDescent="0.25">
      <c r="A61" s="303">
        <f t="shared" si="5"/>
        <v>45</v>
      </c>
      <c r="B61" s="305"/>
      <c r="C61" s="305"/>
      <c r="D61" s="305"/>
      <c r="E61" s="305"/>
      <c r="F61" s="305"/>
      <c r="G61" s="305"/>
      <c r="H61" s="305"/>
      <c r="I61" s="305"/>
      <c r="J61" s="305"/>
      <c r="K61" s="305">
        <f t="shared" si="6"/>
      </c>
      <c r="L61" s="305"/>
      <c r="M61" s="305">
        <f t="shared" si="7"/>
      </c>
      <c r="N61" s="306"/>
      <c r="O61" s="307">
        <f t="shared" si="8"/>
      </c>
      <c r="P61" s="307">
        <f t="shared" si="8"/>
      </c>
      <c r="Q61" s="307">
        <f t="shared" si="8"/>
      </c>
      <c r="R61" s="306"/>
      <c r="S61" s="307">
        <f t="shared" si="9"/>
      </c>
      <c r="T61" s="307">
        <f t="shared" si="9"/>
      </c>
      <c r="U61" s="307">
        <f t="shared" si="9"/>
      </c>
      <c r="V61" s="306"/>
      <c r="W61" s="307">
        <f t="shared" si="10"/>
      </c>
      <c r="X61" s="307">
        <f t="shared" si="10"/>
      </c>
      <c r="Y61" s="307">
        <f t="shared" si="10"/>
      </c>
      <c r="Z61" s="306"/>
      <c r="AA61" s="306"/>
      <c r="AB61" s="306"/>
      <c r="AC61" s="306"/>
      <c r="AD61" s="306"/>
    </row>
    <row r="62" spans="1:30" x14ac:dyDescent="0.25">
      <c r="A62" s="303">
        <f t="shared" si="5"/>
        <v>46</v>
      </c>
      <c r="B62" s="305"/>
      <c r="C62" s="305"/>
      <c r="D62" s="305"/>
      <c r="E62" s="305"/>
      <c r="F62" s="305"/>
      <c r="G62" s="305"/>
      <c r="H62" s="305"/>
      <c r="I62" s="305"/>
      <c r="J62" s="305"/>
      <c r="K62" s="305">
        <f t="shared" si="6"/>
      </c>
      <c r="L62" s="305"/>
      <c r="M62" s="305">
        <f t="shared" si="7"/>
      </c>
      <c r="N62" s="306"/>
      <c r="O62" s="307">
        <f t="shared" si="8"/>
      </c>
      <c r="P62" s="307">
        <f t="shared" si="8"/>
      </c>
      <c r="Q62" s="307">
        <f t="shared" si="8"/>
      </c>
      <c r="R62" s="306"/>
      <c r="S62" s="307">
        <f t="shared" si="9"/>
      </c>
      <c r="T62" s="307">
        <f t="shared" si="9"/>
      </c>
      <c r="U62" s="307">
        <f t="shared" si="9"/>
      </c>
      <c r="V62" s="306"/>
      <c r="W62" s="307">
        <f t="shared" si="10"/>
      </c>
      <c r="X62" s="307">
        <f t="shared" si="10"/>
      </c>
      <c r="Y62" s="307">
        <f t="shared" si="10"/>
      </c>
      <c r="Z62" s="306"/>
      <c r="AA62" s="306"/>
      <c r="AB62" s="306"/>
      <c r="AC62" s="306"/>
      <c r="AD62" s="306"/>
    </row>
    <row r="63" spans="1:30" x14ac:dyDescent="0.25">
      <c r="A63" s="303">
        <f t="shared" si="5"/>
        <v>47</v>
      </c>
      <c r="B63" s="305"/>
      <c r="C63" s="305"/>
      <c r="D63" s="305"/>
      <c r="E63" s="305"/>
      <c r="F63" s="305"/>
      <c r="G63" s="305"/>
      <c r="H63" s="305"/>
      <c r="I63" s="305"/>
      <c r="J63" s="305"/>
      <c r="K63" s="305">
        <f t="shared" si="6"/>
      </c>
      <c r="L63" s="305"/>
      <c r="M63" s="305">
        <f t="shared" si="7"/>
      </c>
      <c r="N63" s="306"/>
      <c r="O63" s="307">
        <f t="shared" si="8"/>
      </c>
      <c r="P63" s="307">
        <f t="shared" si="8"/>
      </c>
      <c r="Q63" s="307">
        <f t="shared" si="8"/>
      </c>
      <c r="R63" s="306"/>
      <c r="S63" s="307">
        <f t="shared" si="9"/>
      </c>
      <c r="T63" s="307">
        <f t="shared" si="9"/>
      </c>
      <c r="U63" s="307">
        <f t="shared" si="9"/>
      </c>
      <c r="V63" s="306"/>
      <c r="W63" s="307">
        <f t="shared" si="10"/>
      </c>
      <c r="X63" s="307">
        <f t="shared" si="10"/>
      </c>
      <c r="Y63" s="307">
        <f t="shared" si="10"/>
      </c>
      <c r="Z63" s="306"/>
      <c r="AA63" s="306"/>
      <c r="AB63" s="306"/>
      <c r="AC63" s="306"/>
      <c r="AD63" s="306"/>
    </row>
    <row r="64" spans="1:30" x14ac:dyDescent="0.25">
      <c r="A64" s="303">
        <f t="shared" si="5"/>
        <v>48</v>
      </c>
      <c r="B64" s="305"/>
      <c r="C64" s="305"/>
      <c r="D64" s="305"/>
      <c r="E64" s="305"/>
      <c r="F64" s="305"/>
      <c r="G64" s="305"/>
      <c r="H64" s="305"/>
      <c r="I64" s="305"/>
      <c r="J64" s="305"/>
      <c r="K64" s="305">
        <f t="shared" si="6"/>
      </c>
      <c r="L64" s="305"/>
      <c r="M64" s="305">
        <f t="shared" si="7"/>
      </c>
      <c r="N64" s="306"/>
      <c r="O64" s="307">
        <f t="shared" si="8"/>
      </c>
      <c r="P64" s="307">
        <f t="shared" si="8"/>
      </c>
      <c r="Q64" s="307">
        <f t="shared" si="8"/>
      </c>
      <c r="R64" s="306"/>
      <c r="S64" s="307">
        <f t="shared" si="9"/>
      </c>
      <c r="T64" s="307">
        <f t="shared" si="9"/>
      </c>
      <c r="U64" s="307">
        <f t="shared" si="9"/>
      </c>
      <c r="V64" s="306"/>
      <c r="W64" s="307">
        <f t="shared" si="10"/>
      </c>
      <c r="X64" s="307">
        <f t="shared" si="10"/>
      </c>
      <c r="Y64" s="307">
        <f t="shared" si="10"/>
      </c>
      <c r="Z64" s="306"/>
      <c r="AA64" s="306"/>
      <c r="AB64" s="306"/>
      <c r="AC64" s="306"/>
      <c r="AD64" s="306"/>
    </row>
    <row r="65" spans="1:30" x14ac:dyDescent="0.25">
      <c r="A65" s="303">
        <f t="shared" si="5"/>
        <v>49</v>
      </c>
      <c r="B65" s="305"/>
      <c r="C65" s="305"/>
      <c r="D65" s="305"/>
      <c r="E65" s="305"/>
      <c r="F65" s="305"/>
      <c r="G65" s="305"/>
      <c r="H65" s="305"/>
      <c r="I65" s="305"/>
      <c r="J65" s="305"/>
      <c r="K65" s="305">
        <f t="shared" si="6"/>
      </c>
      <c r="L65" s="305"/>
      <c r="M65" s="305">
        <f t="shared" si="7"/>
      </c>
      <c r="N65" s="306"/>
      <c r="O65" s="307">
        <f t="shared" si="8"/>
      </c>
      <c r="P65" s="307">
        <f t="shared" si="8"/>
      </c>
      <c r="Q65" s="307">
        <f t="shared" si="8"/>
      </c>
      <c r="R65" s="306"/>
      <c r="S65" s="307">
        <f t="shared" si="9"/>
      </c>
      <c r="T65" s="307">
        <f t="shared" si="9"/>
      </c>
      <c r="U65" s="307">
        <f t="shared" si="9"/>
      </c>
      <c r="V65" s="306"/>
      <c r="W65" s="307">
        <f t="shared" si="10"/>
      </c>
      <c r="X65" s="307">
        <f t="shared" si="10"/>
      </c>
      <c r="Y65" s="307">
        <f t="shared" si="10"/>
      </c>
      <c r="Z65" s="306"/>
      <c r="AA65" s="306"/>
      <c r="AB65" s="306"/>
      <c r="AC65" s="306"/>
      <c r="AD65" s="306"/>
    </row>
    <row r="66" spans="1:30" x14ac:dyDescent="0.25">
      <c r="A66" s="303">
        <f t="shared" si="5"/>
        <v>50</v>
      </c>
      <c r="B66" s="305"/>
      <c r="C66" s="305"/>
      <c r="D66" s="305"/>
      <c r="E66" s="305"/>
      <c r="F66" s="305"/>
      <c r="G66" s="305"/>
      <c r="H66" s="305"/>
      <c r="I66" s="305"/>
      <c r="J66" s="305"/>
      <c r="K66" s="305">
        <f t="shared" si="6"/>
      </c>
      <c r="L66" s="305"/>
      <c r="M66" s="305">
        <f t="shared" si="7"/>
      </c>
      <c r="N66" s="306"/>
      <c r="O66" s="307">
        <f t="shared" si="8"/>
      </c>
      <c r="P66" s="307">
        <f t="shared" si="8"/>
      </c>
      <c r="Q66" s="307">
        <f t="shared" si="8"/>
      </c>
      <c r="R66" s="306"/>
      <c r="S66" s="307">
        <f t="shared" si="9"/>
      </c>
      <c r="T66" s="307">
        <f t="shared" si="9"/>
      </c>
      <c r="U66" s="307">
        <f t="shared" si="9"/>
      </c>
      <c r="V66" s="306"/>
      <c r="W66" s="307">
        <f t="shared" si="10"/>
      </c>
      <c r="X66" s="307">
        <f t="shared" si="10"/>
      </c>
      <c r="Y66" s="307">
        <f t="shared" si="10"/>
      </c>
      <c r="Z66" s="306"/>
      <c r="AA66" s="306"/>
      <c r="AB66" s="306"/>
      <c r="AC66" s="306"/>
      <c r="AD66" s="306"/>
    </row>
    <row r="67" spans="1:2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236"/>
      <c r="O67" s="302"/>
      <c r="P67" s="302"/>
      <c r="Q67" s="302"/>
      <c r="R67" s="236"/>
      <c r="S67" s="236"/>
      <c r="T67" s="236"/>
      <c r="U67" s="236"/>
      <c r="V67" s="236"/>
      <c r="W67" s="236"/>
      <c r="X67" s="236"/>
      <c r="Y67" s="236"/>
    </row>
    <row r="68" spans="1:2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236"/>
      <c r="O68" s="302"/>
      <c r="P68" s="302"/>
      <c r="Q68" s="302"/>
      <c r="R68" s="236"/>
      <c r="S68" s="236"/>
      <c r="T68" s="236"/>
      <c r="U68" s="236"/>
      <c r="V68" s="236"/>
      <c r="W68" s="236"/>
      <c r="X68" s="236"/>
      <c r="Y68" s="236"/>
    </row>
    <row r="69" spans="1:2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236"/>
      <c r="O69" s="302"/>
      <c r="P69" s="302"/>
      <c r="Q69" s="302"/>
      <c r="R69" s="236"/>
      <c r="S69" s="236"/>
      <c r="T69" s="236"/>
      <c r="U69" s="236"/>
      <c r="V69" s="236"/>
      <c r="W69" s="236"/>
      <c r="X69" s="236"/>
      <c r="Y69" s="236"/>
    </row>
    <row r="70" spans="1:30" x14ac:dyDescent="0.25">
      <c r="A70" s="306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  <c r="AA70" s="307"/>
      <c r="AB70" s="307"/>
      <c r="AC70" s="307"/>
      <c r="AD70" s="307"/>
    </row>
    <row r="71" ht="20.25" customHeight="1" spans="1:25" x14ac:dyDescent="0.25">
      <c r="A71" s="10"/>
      <c r="B71" s="311" t="s">
        <v>277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236"/>
      <c r="O71" s="302"/>
      <c r="P71" s="302"/>
      <c r="Q71" s="302"/>
      <c r="R71" s="236"/>
      <c r="S71" s="236"/>
      <c r="T71" s="236"/>
      <c r="U71" s="236"/>
      <c r="V71" s="236"/>
      <c r="W71" s="236"/>
      <c r="X71" s="236"/>
      <c r="Y71" s="236"/>
    </row>
    <row r="72" spans="1:2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236"/>
      <c r="O72" s="302"/>
      <c r="P72" s="302"/>
      <c r="Q72" s="302"/>
      <c r="R72" s="236"/>
      <c r="S72" s="236"/>
      <c r="T72" s="236"/>
      <c r="U72" s="236"/>
      <c r="V72" s="236"/>
      <c r="W72" s="236"/>
      <c r="X72" s="236"/>
      <c r="Y72" s="236"/>
    </row>
    <row r="73" ht="15.75" customHeight="1" spans="1:25" x14ac:dyDescent="0.25">
      <c r="A73" s="10"/>
      <c r="B73" s="312" t="s">
        <v>278</v>
      </c>
      <c r="C73" s="312"/>
      <c r="D73" s="312"/>
      <c r="E73" s="312"/>
      <c r="F73" s="312"/>
      <c r="G73" s="312"/>
      <c r="H73" s="312"/>
      <c r="I73" s="312"/>
      <c r="J73" s="312"/>
      <c r="K73" s="312"/>
      <c r="L73" s="10"/>
      <c r="M73" s="10"/>
      <c r="N73" s="236"/>
      <c r="O73" s="302"/>
      <c r="P73" s="302"/>
      <c r="Q73" s="302"/>
      <c r="R73" s="236"/>
      <c r="S73" s="236"/>
      <c r="T73" s="236"/>
      <c r="U73" s="236"/>
      <c r="V73" s="236"/>
      <c r="W73" s="236"/>
      <c r="X73" s="236"/>
      <c r="Y73" s="236"/>
    </row>
    <row r="74" spans="1:30" x14ac:dyDescent="0.25">
      <c r="A74" s="307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07"/>
      <c r="M74" s="307"/>
      <c r="N74" s="236"/>
      <c r="O74" s="302"/>
      <c r="P74" s="302"/>
      <c r="Q74" s="302"/>
      <c r="R74" s="236"/>
      <c r="S74" s="236"/>
      <c r="T74" s="236"/>
      <c r="U74" s="236"/>
      <c r="V74" s="236"/>
      <c r="W74" s="236"/>
      <c r="X74" s="236"/>
      <c r="Y74" s="236"/>
      <c r="Z74" s="306"/>
      <c r="AA74" s="306"/>
      <c r="AB74" s="306"/>
      <c r="AC74" s="306"/>
      <c r="AD74" s="306"/>
    </row>
    <row r="75" spans="1:26" x14ac:dyDescent="0.25">
      <c r="A75" s="10"/>
      <c r="B75" s="10"/>
      <c r="C75" s="10"/>
      <c r="D75" s="10"/>
      <c r="E75" s="10"/>
      <c r="F75" s="10"/>
      <c r="G75" s="303" t="s">
        <v>229</v>
      </c>
      <c r="H75" s="303"/>
      <c r="I75" s="303"/>
      <c r="J75" s="303"/>
      <c r="K75" s="313" t="s">
        <v>279</v>
      </c>
      <c r="L75" s="102"/>
      <c r="M75" s="10"/>
      <c r="N75" s="10"/>
      <c r="O75" s="302"/>
      <c r="P75" s="302"/>
      <c r="Q75" s="236"/>
      <c r="R75" s="302"/>
      <c r="S75" s="302"/>
      <c r="T75" s="302"/>
      <c r="U75" s="236"/>
      <c r="V75" s="236"/>
      <c r="W75" s="302"/>
      <c r="X75" s="302"/>
      <c r="Y75" s="236"/>
      <c r="Z75" s="236"/>
    </row>
    <row r="76" spans="1:26" x14ac:dyDescent="0.25">
      <c r="A76" s="10"/>
      <c r="B76" s="10"/>
      <c r="C76" s="10"/>
      <c r="D76" s="10"/>
      <c r="E76" s="10"/>
      <c r="F76" s="10"/>
      <c r="G76" s="303">
        <v>0</v>
      </c>
      <c r="H76" s="303"/>
      <c r="I76" s="303">
        <v>1</v>
      </c>
      <c r="J76" s="303"/>
      <c r="K76" s="314"/>
      <c r="L76" s="102"/>
      <c r="M76" s="10"/>
      <c r="N76" s="10"/>
      <c r="O76" s="302"/>
      <c r="P76" s="302"/>
      <c r="Q76" s="236"/>
      <c r="R76" s="302"/>
      <c r="S76" s="302"/>
      <c r="T76" s="302"/>
      <c r="U76" s="236"/>
      <c r="V76" s="236"/>
      <c r="W76" s="302"/>
      <c r="X76" s="302"/>
      <c r="Y76" s="236"/>
      <c r="Z76" s="236"/>
    </row>
    <row r="77" spans="1:26" x14ac:dyDescent="0.25">
      <c r="A77" s="10"/>
      <c r="B77" s="315" t="s">
        <v>280</v>
      </c>
      <c r="C77" s="316">
        <v>0</v>
      </c>
      <c r="D77" s="317" t="s">
        <v>281</v>
      </c>
      <c r="E77" s="318"/>
      <c r="F77" s="319"/>
      <c r="G77" s="320">
        <f>COUNTIF($O$13:$Q$66,"=a")</f>
        <v>0</v>
      </c>
      <c r="H77" s="319"/>
      <c r="I77" s="320">
        <f>COUNTIF($O$13:$Q$66,"=c")</f>
        <v>0</v>
      </c>
      <c r="J77" s="319"/>
      <c r="K77" s="321">
        <f>SUM(G77:J77)</f>
        <v>0</v>
      </c>
      <c r="L77" s="10"/>
      <c r="M77" s="10"/>
      <c r="N77" s="10"/>
      <c r="O77" s="302"/>
      <c r="P77" s="302"/>
      <c r="Q77" s="236"/>
      <c r="R77" s="302"/>
      <c r="S77" s="302"/>
      <c r="T77" s="302"/>
      <c r="U77" s="236"/>
      <c r="V77" s="236"/>
      <c r="W77" s="302"/>
      <c r="X77" s="302"/>
      <c r="Y77" s="236"/>
      <c r="Z77" s="236"/>
    </row>
    <row r="78" spans="1:26" x14ac:dyDescent="0.25">
      <c r="A78" s="10"/>
      <c r="B78" s="315"/>
      <c r="C78" s="322"/>
      <c r="D78" s="323" t="s">
        <v>282</v>
      </c>
      <c r="E78" s="107"/>
      <c r="F78" s="324"/>
      <c r="G78" s="325">
        <f>IF(K81&lt;&gt;0,K77/K81*G81,"")</f>
      </c>
      <c r="H78" s="326"/>
      <c r="I78" s="325">
        <f>IF(K81&lt;&gt;0,K77/K81*I81,"")</f>
      </c>
      <c r="J78" s="326"/>
      <c r="K78" s="327">
        <f>IF(G78&lt;&gt;"",G78+I78,"")</f>
      </c>
      <c r="L78" s="328"/>
      <c r="M78" s="10"/>
      <c r="N78" s="10"/>
      <c r="O78" s="302"/>
      <c r="P78" s="302"/>
      <c r="Q78" s="236"/>
      <c r="R78" s="302"/>
      <c r="S78" s="302"/>
      <c r="T78" s="302"/>
      <c r="U78" s="236"/>
      <c r="V78" s="236"/>
      <c r="W78" s="302"/>
      <c r="X78" s="302"/>
      <c r="Y78" s="236"/>
      <c r="Z78" s="236"/>
    </row>
    <row r="79" spans="1:26" x14ac:dyDescent="0.25">
      <c r="A79" s="10"/>
      <c r="B79" s="315"/>
      <c r="C79" s="316">
        <v>1</v>
      </c>
      <c r="D79" s="317" t="s">
        <v>281</v>
      </c>
      <c r="E79" s="318"/>
      <c r="F79" s="319"/>
      <c r="G79" s="320">
        <f>COUNTIF($O$13:$Q$66,"=b")</f>
        <v>0</v>
      </c>
      <c r="H79" s="319"/>
      <c r="I79" s="320">
        <f>COUNTIF($O$13:$Q$66,"=d")</f>
        <v>0</v>
      </c>
      <c r="J79" s="319"/>
      <c r="K79" s="321">
        <f>SUM(G79:J79)</f>
        <v>0</v>
      </c>
      <c r="L79" s="10"/>
      <c r="M79" s="10"/>
      <c r="N79" s="10"/>
      <c r="O79" s="302"/>
      <c r="P79" s="302"/>
      <c r="Q79" s="236"/>
      <c r="R79" s="302"/>
      <c r="S79" s="302"/>
      <c r="T79" s="302"/>
      <c r="U79" s="236"/>
      <c r="V79" s="236"/>
      <c r="W79" s="302"/>
      <c r="X79" s="302"/>
      <c r="Y79" s="236"/>
      <c r="Z79" s="236"/>
    </row>
    <row r="80" spans="1:26" x14ac:dyDescent="0.25">
      <c r="A80" s="10"/>
      <c r="B80" s="315"/>
      <c r="C80" s="322"/>
      <c r="D80" s="323" t="s">
        <v>282</v>
      </c>
      <c r="E80" s="107"/>
      <c r="F80" s="324"/>
      <c r="G80" s="325">
        <f>IF(K81&lt;&gt;0,K79/K81*G81,"")</f>
      </c>
      <c r="H80" s="326"/>
      <c r="I80" s="325">
        <f>IF(K81&lt;&gt;0,K79/K81*I81,"")</f>
      </c>
      <c r="J80" s="326"/>
      <c r="K80" s="327">
        <f>IF(G80&lt;&gt;"",G80+I80,"")</f>
      </c>
      <c r="L80" s="328"/>
      <c r="M80" s="10"/>
      <c r="N80" s="10"/>
      <c r="O80" s="302"/>
      <c r="P80" s="302"/>
      <c r="Q80" s="236"/>
      <c r="R80" s="302"/>
      <c r="S80" s="302"/>
      <c r="T80" s="302"/>
      <c r="U80" s="236"/>
      <c r="V80" s="236"/>
      <c r="W80" s="302"/>
      <c r="X80" s="302"/>
      <c r="Y80" s="236"/>
      <c r="Z80" s="236"/>
    </row>
    <row r="81" spans="1:26" x14ac:dyDescent="0.25">
      <c r="A81" s="10"/>
      <c r="B81" s="329" t="s">
        <v>279</v>
      </c>
      <c r="C81" s="330"/>
      <c r="D81" s="317" t="s">
        <v>281</v>
      </c>
      <c r="E81" s="318"/>
      <c r="F81" s="319"/>
      <c r="G81" s="320">
        <f>G77+G79</f>
        <v>0</v>
      </c>
      <c r="H81" s="319"/>
      <c r="I81" s="320">
        <f>I77+I79</f>
        <v>0</v>
      </c>
      <c r="J81" s="319"/>
      <c r="K81" s="321">
        <f>K77+K79</f>
        <v>0</v>
      </c>
      <c r="L81" s="10"/>
      <c r="M81" s="10"/>
      <c r="N81" s="331"/>
      <c r="O81" s="236"/>
      <c r="P81" s="302"/>
      <c r="Q81" s="302"/>
      <c r="R81" s="302"/>
      <c r="S81" s="236"/>
      <c r="T81" s="236"/>
      <c r="U81" s="236"/>
      <c r="V81" s="236"/>
      <c r="W81" s="236"/>
      <c r="X81" s="236"/>
      <c r="Y81" s="236"/>
      <c r="Z81" s="236"/>
    </row>
    <row r="82" spans="1:26" x14ac:dyDescent="0.25">
      <c r="A82" s="10"/>
      <c r="B82" s="332"/>
      <c r="C82" s="333"/>
      <c r="D82" s="323" t="s">
        <v>282</v>
      </c>
      <c r="E82" s="107"/>
      <c r="F82" s="324"/>
      <c r="G82" s="325">
        <f>IF(G78&lt;&gt;"",G78+G80,"")</f>
      </c>
      <c r="H82" s="326"/>
      <c r="I82" s="325">
        <f>IF(I78&lt;&gt;"",I78+I80,"")</f>
      </c>
      <c r="J82" s="326"/>
      <c r="K82" s="327">
        <f>IF(K78&lt;&gt;"",K78+K80,"")</f>
      </c>
      <c r="L82" s="328"/>
      <c r="M82" s="10"/>
      <c r="N82" s="10"/>
      <c r="O82" s="236"/>
      <c r="P82" s="302"/>
      <c r="Q82" s="302"/>
      <c r="R82" s="302"/>
      <c r="S82" s="236"/>
      <c r="T82" s="236"/>
      <c r="U82" s="236"/>
      <c r="V82" s="236"/>
      <c r="W82" s="236"/>
      <c r="X82" s="236"/>
      <c r="Y82" s="236"/>
      <c r="Z82" s="236"/>
    </row>
    <row r="83" spans="1:2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236"/>
      <c r="O83" s="302"/>
      <c r="P83" s="302"/>
      <c r="Q83" s="302"/>
      <c r="R83" s="236"/>
      <c r="S83" s="236"/>
      <c r="T83" s="236"/>
      <c r="U83" s="236"/>
      <c r="V83" s="236"/>
      <c r="W83" s="236"/>
      <c r="X83" s="236"/>
      <c r="Y83" s="236"/>
    </row>
    <row r="84" spans="1:2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236"/>
      <c r="O84" s="302"/>
      <c r="P84" s="302"/>
      <c r="Q84" s="302"/>
      <c r="R84" s="236"/>
      <c r="S84" s="236"/>
      <c r="T84" s="236"/>
      <c r="U84" s="236"/>
      <c r="V84" s="236"/>
      <c r="W84" s="236"/>
      <c r="X84" s="236"/>
      <c r="Y84" s="236"/>
    </row>
    <row r="85" ht="15.75" customHeight="1" spans="1:25" x14ac:dyDescent="0.25">
      <c r="A85" s="10"/>
      <c r="B85" s="312" t="s">
        <v>283</v>
      </c>
      <c r="C85" s="312"/>
      <c r="D85" s="312"/>
      <c r="E85" s="312"/>
      <c r="F85" s="312"/>
      <c r="G85" s="312"/>
      <c r="H85" s="312"/>
      <c r="I85" s="312"/>
      <c r="J85" s="312"/>
      <c r="K85" s="312"/>
      <c r="L85" s="10"/>
      <c r="M85" s="10"/>
      <c r="N85" s="236"/>
      <c r="O85" s="302"/>
      <c r="P85" s="302"/>
      <c r="Q85" s="302"/>
      <c r="R85" s="236"/>
      <c r="S85" s="236"/>
      <c r="T85" s="236"/>
      <c r="U85" s="236"/>
      <c r="V85" s="236"/>
      <c r="W85" s="236"/>
      <c r="X85" s="236"/>
      <c r="Y85" s="236"/>
    </row>
    <row r="86" spans="1:25" x14ac:dyDescent="0.25">
      <c r="A86" s="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10"/>
      <c r="M86" s="10"/>
      <c r="N86" s="236"/>
      <c r="O86" s="302"/>
      <c r="P86" s="302"/>
      <c r="Q86" s="302"/>
      <c r="R86" s="236"/>
      <c r="S86" s="236"/>
      <c r="T86" s="236"/>
      <c r="U86" s="236"/>
      <c r="V86" s="236"/>
      <c r="W86" s="236"/>
      <c r="X86" s="236"/>
      <c r="Y86" s="236"/>
    </row>
    <row r="87" spans="1:26" x14ac:dyDescent="0.25">
      <c r="A87" s="10"/>
      <c r="B87" s="10"/>
      <c r="C87" s="10"/>
      <c r="D87" s="10"/>
      <c r="E87" s="10"/>
      <c r="F87" s="10"/>
      <c r="G87" s="303" t="s">
        <v>284</v>
      </c>
      <c r="H87" s="303"/>
      <c r="I87" s="303"/>
      <c r="J87" s="303"/>
      <c r="K87" s="313" t="s">
        <v>279</v>
      </c>
      <c r="L87" s="102"/>
      <c r="M87" s="10"/>
      <c r="N87" s="10"/>
      <c r="O87" s="236"/>
      <c r="P87" s="302"/>
      <c r="Q87" s="302"/>
      <c r="R87" s="302"/>
      <c r="S87" s="236"/>
      <c r="T87" s="236"/>
      <c r="U87" s="236"/>
      <c r="V87" s="236"/>
      <c r="W87" s="236"/>
      <c r="X87" s="236"/>
      <c r="Y87" s="236"/>
      <c r="Z87" s="236"/>
    </row>
    <row r="88" spans="1:26" x14ac:dyDescent="0.25">
      <c r="A88" s="10"/>
      <c r="B88" s="10"/>
      <c r="C88" s="10"/>
      <c r="D88" s="10"/>
      <c r="E88" s="10"/>
      <c r="F88" s="10"/>
      <c r="G88" s="303">
        <v>0</v>
      </c>
      <c r="H88" s="303"/>
      <c r="I88" s="303">
        <v>1</v>
      </c>
      <c r="J88" s="303"/>
      <c r="K88" s="314"/>
      <c r="L88" s="102"/>
      <c r="M88" s="10"/>
      <c r="N88" s="10"/>
      <c r="O88" s="236"/>
      <c r="P88" s="302"/>
      <c r="Q88" s="302"/>
      <c r="R88" s="302"/>
      <c r="S88" s="236"/>
      <c r="T88" s="236"/>
      <c r="U88" s="236"/>
      <c r="V88" s="236"/>
      <c r="W88" s="236"/>
      <c r="X88" s="236"/>
      <c r="Y88" s="236"/>
      <c r="Z88" s="236"/>
    </row>
    <row r="89" spans="1:26" x14ac:dyDescent="0.25">
      <c r="A89" s="10"/>
      <c r="B89" s="315" t="s">
        <v>229</v>
      </c>
      <c r="C89" s="316">
        <v>0</v>
      </c>
      <c r="D89" s="317" t="s">
        <v>281</v>
      </c>
      <c r="E89" s="318"/>
      <c r="F89" s="319"/>
      <c r="G89" s="334">
        <f>COUNTIF($S$13:$U$66,"=a")</f>
        <v>0</v>
      </c>
      <c r="H89" s="335"/>
      <c r="I89" s="334">
        <f>COUNTIF($S$13:$U$66,"=c")</f>
        <v>0</v>
      </c>
      <c r="J89" s="335"/>
      <c r="K89" s="321">
        <f>SUM(G89:J89)</f>
        <v>0</v>
      </c>
      <c r="L89" s="10"/>
      <c r="M89" s="10"/>
      <c r="N89" s="10"/>
      <c r="O89" s="236"/>
      <c r="P89" s="302"/>
      <c r="Q89" s="302"/>
      <c r="R89" s="302"/>
      <c r="S89" s="236"/>
      <c r="T89" s="236"/>
      <c r="U89" s="236"/>
      <c r="V89" s="236"/>
      <c r="W89" s="236"/>
      <c r="X89" s="236"/>
      <c r="Y89" s="236"/>
      <c r="Z89" s="236"/>
    </row>
    <row r="90" spans="1:26" x14ac:dyDescent="0.25">
      <c r="A90" s="10"/>
      <c r="B90" s="315"/>
      <c r="C90" s="322"/>
      <c r="D90" s="323" t="s">
        <v>282</v>
      </c>
      <c r="E90" s="107"/>
      <c r="F90" s="324"/>
      <c r="G90" s="325">
        <f>IF(K93&lt;&gt;0,K89/K93*G93,"")</f>
      </c>
      <c r="H90" s="326"/>
      <c r="I90" s="325">
        <f>IF(K93&lt;&gt;0,K89/K93*I93,"")</f>
      </c>
      <c r="J90" s="326"/>
      <c r="K90" s="327">
        <f>IF(G90&lt;&gt;"",G90+I90,"")</f>
      </c>
      <c r="L90" s="328"/>
      <c r="M90" s="10"/>
      <c r="N90" s="10"/>
      <c r="O90" s="236"/>
      <c r="P90" s="302"/>
      <c r="Q90" s="302"/>
      <c r="R90" s="302"/>
      <c r="S90" s="236"/>
      <c r="T90" s="236"/>
      <c r="U90" s="236"/>
      <c r="V90" s="236"/>
      <c r="W90" s="236"/>
      <c r="X90" s="236"/>
      <c r="Y90" s="236"/>
      <c r="Z90" s="236"/>
    </row>
    <row r="91" spans="1:26" x14ac:dyDescent="0.25">
      <c r="A91" s="10"/>
      <c r="B91" s="315"/>
      <c r="C91" s="316">
        <v>1</v>
      </c>
      <c r="D91" s="317" t="s">
        <v>281</v>
      </c>
      <c r="E91" s="318"/>
      <c r="F91" s="319"/>
      <c r="G91" s="334">
        <f>COUNTIF($S$13:$U$66,"=b")</f>
        <v>0</v>
      </c>
      <c r="H91" s="335"/>
      <c r="I91" s="334">
        <f>COUNTIF($S$13:$U$66,"=d")</f>
        <v>0</v>
      </c>
      <c r="J91" s="335"/>
      <c r="K91" s="321">
        <f>SUM(G91:J91)</f>
        <v>0</v>
      </c>
      <c r="L91" s="10"/>
      <c r="M91" s="10"/>
      <c r="N91" s="10"/>
      <c r="O91" s="236"/>
      <c r="P91" s="302"/>
      <c r="Q91" s="302"/>
      <c r="R91" s="302"/>
      <c r="S91" s="236"/>
      <c r="T91" s="236"/>
      <c r="U91" s="236"/>
      <c r="V91" s="236"/>
      <c r="W91" s="236"/>
      <c r="X91" s="236"/>
      <c r="Y91" s="236"/>
      <c r="Z91" s="236"/>
    </row>
    <row r="92" spans="1:26" x14ac:dyDescent="0.25">
      <c r="A92" s="10"/>
      <c r="B92" s="315"/>
      <c r="C92" s="322"/>
      <c r="D92" s="323" t="s">
        <v>282</v>
      </c>
      <c r="E92" s="107"/>
      <c r="F92" s="324"/>
      <c r="G92" s="325">
        <f>IF(K93&lt;&gt;0,K91/K93*G93,"")</f>
      </c>
      <c r="H92" s="326"/>
      <c r="I92" s="325">
        <f>IF(K93&lt;&gt;0,K91/K93*I93,"")</f>
      </c>
      <c r="J92" s="326"/>
      <c r="K92" s="327">
        <f>IF(G92&lt;&gt;"",G92+I92,"")</f>
      </c>
      <c r="L92" s="328"/>
      <c r="M92" s="10"/>
      <c r="N92" s="10"/>
      <c r="O92" s="236"/>
      <c r="P92" s="302"/>
      <c r="Q92" s="302"/>
      <c r="R92" s="302"/>
      <c r="S92" s="236"/>
      <c r="T92" s="236"/>
      <c r="U92" s="236"/>
      <c r="V92" s="236"/>
      <c r="W92" s="236"/>
      <c r="X92" s="236"/>
      <c r="Y92" s="236"/>
      <c r="Z92" s="236"/>
    </row>
    <row r="93" spans="1:26" x14ac:dyDescent="0.25">
      <c r="A93" s="10"/>
      <c r="B93" s="329" t="s">
        <v>279</v>
      </c>
      <c r="C93" s="330"/>
      <c r="D93" s="317" t="s">
        <v>281</v>
      </c>
      <c r="E93" s="318"/>
      <c r="F93" s="319"/>
      <c r="G93" s="320">
        <f>G89+G91</f>
        <v>0</v>
      </c>
      <c r="H93" s="319"/>
      <c r="I93" s="320">
        <f>I89+I91</f>
        <v>0</v>
      </c>
      <c r="J93" s="319"/>
      <c r="K93" s="321">
        <f>K89+K91</f>
        <v>0</v>
      </c>
      <c r="L93" s="10"/>
      <c r="M93" s="10"/>
      <c r="N93" s="10"/>
      <c r="O93" s="236"/>
      <c r="P93" s="302"/>
      <c r="Q93" s="302"/>
      <c r="R93" s="302"/>
      <c r="S93" s="236"/>
      <c r="T93" s="236"/>
      <c r="U93" s="236"/>
      <c r="V93" s="236"/>
      <c r="W93" s="236"/>
      <c r="X93" s="236"/>
      <c r="Y93" s="236"/>
      <c r="Z93" s="236"/>
    </row>
    <row r="94" spans="1:26" x14ac:dyDescent="0.25">
      <c r="A94" s="10"/>
      <c r="B94" s="332"/>
      <c r="C94" s="333"/>
      <c r="D94" s="323" t="s">
        <v>282</v>
      </c>
      <c r="E94" s="107"/>
      <c r="F94" s="324"/>
      <c r="G94" s="325">
        <f>IF(G90&lt;&gt;"",G90+G92,"")</f>
      </c>
      <c r="H94" s="326"/>
      <c r="I94" s="325">
        <f>IF(I90&lt;&gt;"",I90+I92,"")</f>
      </c>
      <c r="J94" s="326"/>
      <c r="K94" s="327">
        <f>IF(K90&lt;&gt;"",K90+K92,"")</f>
      </c>
      <c r="L94" s="328"/>
      <c r="M94" s="10"/>
      <c r="N94" s="10"/>
      <c r="O94" s="236"/>
      <c r="P94" s="302"/>
      <c r="Q94" s="302"/>
      <c r="R94" s="302"/>
      <c r="S94" s="236"/>
      <c r="T94" s="236"/>
      <c r="U94" s="236"/>
      <c r="V94" s="236"/>
      <c r="W94" s="236"/>
      <c r="X94" s="236"/>
      <c r="Y94" s="236"/>
      <c r="Z94" s="236"/>
    </row>
    <row r="95" spans="1:2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236"/>
      <c r="O95" s="302"/>
      <c r="P95" s="302"/>
      <c r="Q95" s="302"/>
      <c r="R95" s="236"/>
      <c r="S95" s="236"/>
      <c r="T95" s="236"/>
      <c r="U95" s="236"/>
      <c r="V95" s="236"/>
      <c r="W95" s="236"/>
      <c r="X95" s="236"/>
      <c r="Y95" s="236"/>
    </row>
    <row r="96" spans="1:2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236"/>
      <c r="O96" s="302"/>
      <c r="P96" s="302"/>
      <c r="Q96" s="302"/>
      <c r="R96" s="236"/>
      <c r="S96" s="236"/>
      <c r="T96" s="236"/>
      <c r="U96" s="236"/>
      <c r="V96" s="236"/>
      <c r="W96" s="236"/>
      <c r="X96" s="236"/>
      <c r="Y96" s="236"/>
    </row>
    <row r="97" spans="1:2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236"/>
      <c r="O97" s="302"/>
      <c r="P97" s="302"/>
      <c r="Q97" s="302"/>
      <c r="R97" s="236"/>
      <c r="S97" s="236"/>
      <c r="T97" s="236"/>
      <c r="U97" s="236"/>
      <c r="V97" s="236"/>
      <c r="W97" s="236"/>
      <c r="X97" s="236"/>
      <c r="Y97" s="236"/>
    </row>
    <row r="98" ht="15.75" customHeight="1" spans="1:25" x14ac:dyDescent="0.25">
      <c r="A98" s="10"/>
      <c r="B98" s="312" t="s">
        <v>285</v>
      </c>
      <c r="C98" s="312"/>
      <c r="D98" s="312"/>
      <c r="E98" s="312"/>
      <c r="F98" s="312"/>
      <c r="G98" s="312"/>
      <c r="H98" s="312"/>
      <c r="I98" s="312"/>
      <c r="J98" s="312"/>
      <c r="K98" s="312"/>
      <c r="L98" s="10"/>
      <c r="M98" s="10"/>
      <c r="N98" s="236"/>
      <c r="O98" s="302"/>
      <c r="P98" s="302"/>
      <c r="Q98" s="302"/>
      <c r="R98" s="236"/>
      <c r="S98" s="236"/>
      <c r="T98" s="236"/>
      <c r="U98" s="236"/>
      <c r="V98" s="236"/>
      <c r="W98" s="236"/>
      <c r="X98" s="236"/>
      <c r="Y98" s="236"/>
    </row>
    <row r="99" spans="1:25" x14ac:dyDescent="0.25">
      <c r="A99" s="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10"/>
      <c r="M99" s="10"/>
      <c r="N99" s="236"/>
      <c r="O99" s="302"/>
      <c r="P99" s="302"/>
      <c r="Q99" s="302"/>
      <c r="R99" s="236"/>
      <c r="S99" s="236"/>
      <c r="T99" s="236"/>
      <c r="U99" s="236"/>
      <c r="V99" s="236"/>
      <c r="W99" s="236"/>
      <c r="X99" s="236"/>
      <c r="Y99" s="236"/>
    </row>
  </sheetData>
  <mergeCells count="54">
    <mergeCell ref="O2:AA2"/>
    <mergeCell ref="A5:D5"/>
    <mergeCell ref="E5:G5"/>
    <mergeCell ref="H5:J5"/>
    <mergeCell ref="K5:M5"/>
    <mergeCell ref="A7:D7"/>
    <mergeCell ref="E7:G7"/>
    <mergeCell ref="H7:J7"/>
    <mergeCell ref="K7:M7"/>
    <mergeCell ref="A9:D9"/>
    <mergeCell ref="E9:G9"/>
    <mergeCell ref="H9:J9"/>
    <mergeCell ref="K9:M9"/>
    <mergeCell ref="A11:M11"/>
    <mergeCell ref="A55:M55"/>
    <mergeCell ref="B73:K73"/>
    <mergeCell ref="G75:J75"/>
    <mergeCell ref="G76:H76"/>
    <mergeCell ref="I76:J76"/>
    <mergeCell ref="K75:K76"/>
    <mergeCell ref="G77:H77"/>
    <mergeCell ref="I77:J77"/>
    <mergeCell ref="B77:B80"/>
    <mergeCell ref="G78:H78"/>
    <mergeCell ref="I78:J78"/>
    <mergeCell ref="G79:H79"/>
    <mergeCell ref="I79:J79"/>
    <mergeCell ref="G80:H80"/>
    <mergeCell ref="I80:J80"/>
    <mergeCell ref="B81:C82"/>
    <mergeCell ref="G81:H81"/>
    <mergeCell ref="I81:J81"/>
    <mergeCell ref="G82:H82"/>
    <mergeCell ref="I82:J82"/>
    <mergeCell ref="B85:K85"/>
    <mergeCell ref="G87:J87"/>
    <mergeCell ref="G88:H88"/>
    <mergeCell ref="I88:J88"/>
    <mergeCell ref="K87:K88"/>
    <mergeCell ref="G89:H89"/>
    <mergeCell ref="I89:J89"/>
    <mergeCell ref="B89:B92"/>
    <mergeCell ref="G90:H90"/>
    <mergeCell ref="I90:J90"/>
    <mergeCell ref="G91:H91"/>
    <mergeCell ref="I91:J91"/>
    <mergeCell ref="G92:H92"/>
    <mergeCell ref="I92:J92"/>
    <mergeCell ref="B93:C94"/>
    <mergeCell ref="G93:H93"/>
    <mergeCell ref="I93:J93"/>
    <mergeCell ref="G94:H94"/>
    <mergeCell ref="I94:J94"/>
    <mergeCell ref="B98:K98"/>
  </mergeCells>
  <pageMargins left="0.75" right="0.75" top="1" bottom="1" header="0.5" footer="0.5"/>
  <pageSetup orientation="landscape" horizontalDpi="4294967295" verticalDpi="0" scale="100" fitToWidth="1" fitToHeight="1" firstPageNumber="1" useFirstPageNumber="1" copies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2"/>
  <sheetViews>
    <sheetView workbookViewId="0" zoomScale="100" zoomScaleNormal="100">
      <selection activeCell="K28" sqref="K28"/>
    </sheetView>
  </sheetViews>
  <sheetFormatPr defaultRowHeight="12.75" outlineLevelRow="0" outlineLevelCol="0" x14ac:dyDescent="0" customHeight="1"/>
  <cols>
    <col min="1" max="1" width="7.5703125" customWidth="1"/>
    <col min="2" max="2" width="4.85546875" customWidth="1"/>
    <col min="3" max="3" width="7" customWidth="1"/>
    <col min="4" max="13" width="6.28515625" customWidth="1"/>
    <col min="14" max="14" width="6.7109375" customWidth="1"/>
    <col min="15" max="16" width="7.7109375" customWidth="1"/>
    <col min="17" max="17" width="15.7109375" customWidth="1"/>
    <col min="18" max="21" width="7.7109375" customWidth="1"/>
    <col min="22" max="22" width="9.28515625" customWidth="1"/>
    <col min="23" max="23" width="8.28515625" customWidth="1"/>
    <col min="24" max="25" width="9.28515625" customWidth="1"/>
  </cols>
  <sheetData>
    <row r="1" ht="18" customHeight="1" spans="1:25" x14ac:dyDescent="0.25">
      <c r="A1" s="479" t="s">
        <v>330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1"/>
      <c r="O1" s="479" t="s">
        <v>330</v>
      </c>
      <c r="P1" s="480"/>
      <c r="Q1" s="480"/>
      <c r="R1" s="480"/>
      <c r="S1" s="480"/>
      <c r="T1" s="480"/>
      <c r="U1" s="480"/>
      <c r="V1" s="480"/>
      <c r="W1" s="480"/>
      <c r="X1" s="480"/>
      <c r="Y1" s="481"/>
    </row>
    <row r="2" ht="18.75" customHeight="1" spans="1:25" x14ac:dyDescent="0.25">
      <c r="A2" s="482" t="s">
        <v>331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4"/>
      <c r="O2" s="482" t="s">
        <v>331</v>
      </c>
      <c r="P2" s="483"/>
      <c r="Q2" s="483"/>
      <c r="R2" s="483"/>
      <c r="S2" s="483"/>
      <c r="T2" s="483"/>
      <c r="U2" s="483"/>
      <c r="V2" s="483"/>
      <c r="W2" s="483"/>
      <c r="X2" s="483"/>
      <c r="Y2" s="484"/>
    </row>
    <row r="3" ht="13.5" customHeight="1" spans="8:25" x14ac:dyDescent="0.25">
      <c r="H3" s="5"/>
      <c r="I3" s="5"/>
      <c r="J3" s="5"/>
      <c r="K3" s="5"/>
      <c r="L3" s="5"/>
      <c r="M3" s="351"/>
      <c r="N3" s="351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4:26" s="236" customFormat="1" x14ac:dyDescent="0.25">
      <c r="D4" s="352" t="s">
        <v>96</v>
      </c>
      <c r="E4" s="353"/>
      <c r="F4" s="354"/>
      <c r="G4" s="354"/>
      <c r="H4" s="354"/>
      <c r="I4" s="354"/>
      <c r="J4" s="355"/>
      <c r="K4" s="306"/>
      <c r="L4" s="306"/>
      <c r="M4" s="306"/>
      <c r="N4" s="356" t="s">
        <v>332</v>
      </c>
      <c r="O4" s="357"/>
      <c r="P4" s="354"/>
      <c r="Q4" s="355"/>
      <c r="R4" s="306"/>
      <c r="S4" s="306"/>
      <c r="T4" s="306"/>
      <c r="U4" s="356" t="s">
        <v>254</v>
      </c>
      <c r="V4" s="358"/>
      <c r="W4" s="359"/>
      <c r="X4" s="360"/>
      <c r="Y4" s="361"/>
      <c r="Z4" s="236"/>
    </row>
    <row r="5" ht="13.5" customHeight="1" spans="4:26" x14ac:dyDescent="0.25">
      <c r="D5" s="362"/>
      <c r="E5" s="363"/>
      <c r="F5" s="363"/>
      <c r="G5" s="363"/>
      <c r="H5" s="363"/>
      <c r="I5" s="363"/>
      <c r="J5" s="364"/>
      <c r="K5" s="306"/>
      <c r="L5" s="306"/>
      <c r="M5" s="306"/>
      <c r="N5" s="365"/>
      <c r="O5" s="366"/>
      <c r="P5" s="366"/>
      <c r="Q5" s="367"/>
      <c r="R5" s="306"/>
      <c r="S5" s="306"/>
      <c r="T5" s="306"/>
      <c r="U5" s="368"/>
      <c r="V5" s="369"/>
      <c r="W5" s="370"/>
      <c r="X5" s="371"/>
      <c r="Y5" s="369"/>
      <c r="Z5" s="5"/>
    </row>
    <row r="6" spans="4:26" s="236" customFormat="1" x14ac:dyDescent="0.25">
      <c r="D6" s="356" t="s">
        <v>336</v>
      </c>
      <c r="E6" s="357"/>
      <c r="F6" s="354"/>
      <c r="G6" s="354"/>
      <c r="H6" s="354"/>
      <c r="I6" s="354"/>
      <c r="J6" s="355"/>
      <c r="K6" s="306"/>
      <c r="L6" s="306"/>
      <c r="M6" s="306"/>
      <c r="N6" s="372" t="s">
        <v>337</v>
      </c>
      <c r="O6" s="373"/>
      <c r="P6" s="354"/>
      <c r="Q6" s="355"/>
      <c r="R6" s="306"/>
      <c r="S6" s="306"/>
      <c r="T6" s="306"/>
      <c r="U6" s="356" t="s">
        <v>255</v>
      </c>
      <c r="V6" s="358"/>
      <c r="W6" s="359"/>
      <c r="X6" s="360"/>
      <c r="Y6" s="361"/>
      <c r="Z6" s="236"/>
    </row>
    <row r="7" ht="13.5" customHeight="1" spans="4:26" x14ac:dyDescent="0.25">
      <c r="D7" s="362"/>
      <c r="E7" s="363"/>
      <c r="F7" s="363"/>
      <c r="G7" s="363"/>
      <c r="H7" s="363"/>
      <c r="I7" s="363"/>
      <c r="J7" s="364"/>
      <c r="K7" s="306"/>
      <c r="L7" s="306"/>
      <c r="M7" s="306"/>
      <c r="N7" s="365"/>
      <c r="O7" s="366"/>
      <c r="P7" s="366"/>
      <c r="Q7" s="367"/>
      <c r="R7" s="306"/>
      <c r="S7" s="306"/>
      <c r="T7" s="306"/>
      <c r="U7" s="368"/>
      <c r="V7" s="369"/>
      <c r="W7" s="370"/>
      <c r="X7" s="371"/>
      <c r="Y7" s="369"/>
      <c r="Z7" s="5"/>
    </row>
    <row r="8" spans="4:26" s="236" customFormat="1" x14ac:dyDescent="0.25">
      <c r="D8" s="374" t="s">
        <v>211</v>
      </c>
      <c r="E8" s="375"/>
      <c r="F8" s="375"/>
      <c r="G8" s="375"/>
      <c r="H8" s="375"/>
      <c r="I8" s="374" t="s">
        <v>341</v>
      </c>
      <c r="J8" s="376"/>
      <c r="K8" s="306"/>
      <c r="L8" s="306"/>
      <c r="M8" s="306"/>
      <c r="N8" s="372" t="s">
        <v>342</v>
      </c>
      <c r="O8" s="373"/>
      <c r="P8" s="354"/>
      <c r="Q8" s="355"/>
      <c r="R8" s="306"/>
      <c r="S8" s="306"/>
      <c r="T8" s="306"/>
      <c r="U8" s="356" t="s">
        <v>258</v>
      </c>
      <c r="V8" s="358"/>
      <c r="W8" s="359"/>
      <c r="X8" s="360"/>
      <c r="Y8" s="361"/>
      <c r="Z8" s="236"/>
    </row>
    <row r="9" ht="13.5" customHeight="1" spans="4:26" x14ac:dyDescent="0.25">
      <c r="D9" s="365"/>
      <c r="E9" s="366"/>
      <c r="F9" s="366"/>
      <c r="G9" s="366"/>
      <c r="H9" s="366"/>
      <c r="I9" s="377"/>
      <c r="J9" s="378"/>
      <c r="K9" s="306"/>
      <c r="L9" s="306"/>
      <c r="M9" s="306"/>
      <c r="N9" s="365"/>
      <c r="O9" s="366"/>
      <c r="P9" s="366"/>
      <c r="Q9" s="367"/>
      <c r="R9" s="306"/>
      <c r="S9" s="306"/>
      <c r="T9" s="306"/>
      <c r="U9" s="368"/>
      <c r="V9" s="369"/>
      <c r="W9" s="370"/>
      <c r="X9" s="371"/>
      <c r="Y9" s="369"/>
      <c r="Z9" s="5"/>
    </row>
    <row r="10" spans="4:26" x14ac:dyDescent="0.25">
      <c r="D10" s="379" t="s">
        <v>346</v>
      </c>
      <c r="E10" s="307"/>
      <c r="F10" s="307"/>
      <c r="G10" s="307"/>
      <c r="H10" s="307"/>
      <c r="I10" s="307"/>
      <c r="J10" s="380"/>
      <c r="K10" s="306"/>
      <c r="L10" s="306"/>
      <c r="M10" s="306"/>
      <c r="N10" s="374" t="s">
        <v>347</v>
      </c>
      <c r="O10" s="376"/>
      <c r="P10" s="374" t="s">
        <v>348</v>
      </c>
      <c r="Q10" s="376"/>
      <c r="R10" s="306"/>
      <c r="S10" s="306"/>
      <c r="T10" s="306"/>
      <c r="U10" s="374" t="s">
        <v>349</v>
      </c>
      <c r="V10" s="376"/>
      <c r="W10" s="374" t="s">
        <v>210</v>
      </c>
      <c r="X10" s="375"/>
      <c r="Y10" s="376"/>
      <c r="Z10" s="236"/>
    </row>
    <row r="11" ht="13.5" customHeight="1" spans="4:26" x14ac:dyDescent="0.25">
      <c r="D11" s="362"/>
      <c r="E11" s="363"/>
      <c r="F11" s="363"/>
      <c r="G11" s="363"/>
      <c r="H11" s="363"/>
      <c r="I11" s="363"/>
      <c r="J11" s="364"/>
      <c r="K11" s="306"/>
      <c r="L11" s="306"/>
      <c r="M11" s="306"/>
      <c r="N11" s="381">
        <f>COUNT(C15:C17)</f>
        <v>0</v>
      </c>
      <c r="O11" s="382"/>
      <c r="P11" s="377"/>
      <c r="Q11" s="378"/>
      <c r="R11" s="383"/>
      <c r="S11" s="383"/>
      <c r="T11" s="383"/>
      <c r="U11" s="381">
        <f>COUNTA(W4,W6,W8)</f>
        <v>0</v>
      </c>
      <c r="V11" s="382"/>
      <c r="W11" s="384"/>
      <c r="X11" s="385"/>
      <c r="Y11" s="386"/>
      <c r="Z11" s="5"/>
    </row>
    <row r="12" ht="13.5" customHeight="1" spans="1:26" x14ac:dyDescent="0.25">
      <c r="A12" s="5"/>
      <c r="B12" s="5"/>
      <c r="C12" s="5"/>
      <c r="D12" s="387">
        <f>IF(I9&gt;J9,"ENTER LOWER SPECIFICATION IN D11 AND UPPER IN E11","")</f>
      </c>
      <c r="E12" s="5"/>
      <c r="F12" s="5"/>
      <c r="G12" s="10"/>
      <c r="H12" s="5"/>
      <c r="I12" s="10"/>
      <c r="J12" s="5"/>
      <c r="K12" s="10"/>
      <c r="L12" s="5"/>
      <c r="M12" s="5"/>
      <c r="N12" s="5"/>
      <c r="O12" s="5"/>
      <c r="P12" s="5"/>
      <c r="Q12" s="5"/>
      <c r="R12" s="5"/>
      <c r="S12" s="10"/>
      <c r="T12" s="5"/>
      <c r="U12" s="10"/>
      <c r="V12" s="5"/>
      <c r="W12" s="10"/>
      <c r="X12" s="5"/>
      <c r="Y12" s="5"/>
      <c r="Z12" s="5"/>
    </row>
    <row r="13" ht="15.75" customHeight="1" spans="1:25" x14ac:dyDescent="0.25">
      <c r="A13" s="485" t="s">
        <v>351</v>
      </c>
      <c r="B13" s="486"/>
      <c r="C13" s="487" t="s">
        <v>263</v>
      </c>
      <c r="D13" s="488"/>
      <c r="E13" s="488"/>
      <c r="F13" s="488"/>
      <c r="G13" s="488"/>
      <c r="H13" s="488"/>
      <c r="I13" s="488"/>
      <c r="J13" s="488"/>
      <c r="K13" s="488"/>
      <c r="L13" s="489"/>
      <c r="M13" s="490" t="s">
        <v>352</v>
      </c>
      <c r="N13" s="491"/>
      <c r="O13" s="492" t="s">
        <v>226</v>
      </c>
      <c r="P13" s="493"/>
      <c r="Q13" s="493"/>
      <c r="R13" s="493"/>
      <c r="S13" s="493"/>
      <c r="T13" s="493"/>
      <c r="U13" s="494"/>
      <c r="V13" s="495" t="s">
        <v>353</v>
      </c>
      <c r="W13" s="496"/>
      <c r="X13" s="496"/>
      <c r="Y13" s="497"/>
    </row>
    <row r="14" ht="15.75" customHeight="1" spans="1:25" x14ac:dyDescent="0.25">
      <c r="A14" s="498" t="s">
        <v>354</v>
      </c>
      <c r="B14" s="499"/>
      <c r="C14" s="500">
        <v>1</v>
      </c>
      <c r="D14" s="500">
        <v>2</v>
      </c>
      <c r="E14" s="500">
        <v>3</v>
      </c>
      <c r="F14" s="500">
        <v>4</v>
      </c>
      <c r="G14" s="500">
        <v>5</v>
      </c>
      <c r="H14" s="500">
        <v>6</v>
      </c>
      <c r="I14" s="500">
        <v>7</v>
      </c>
      <c r="J14" s="500">
        <v>8</v>
      </c>
      <c r="K14" s="500">
        <v>9</v>
      </c>
      <c r="L14" s="500">
        <v>10</v>
      </c>
      <c r="M14" s="501"/>
      <c r="N14" s="502"/>
      <c r="O14" s="503" t="s">
        <v>355</v>
      </c>
      <c r="P14" s="267"/>
      <c r="Q14" s="267"/>
      <c r="R14" s="267"/>
      <c r="S14" s="267"/>
      <c r="T14" s="267"/>
      <c r="U14" s="267"/>
      <c r="V14" s="504"/>
      <c r="W14" s="267"/>
      <c r="X14" s="267"/>
      <c r="Y14" s="505"/>
    </row>
    <row r="15" ht="18" customHeight="1" spans="1:25" x14ac:dyDescent="0.25">
      <c r="A15" s="407" t="s">
        <v>356</v>
      </c>
      <c r="B15" s="506">
        <v>1</v>
      </c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10"/>
      <c r="N15" s="507">
        <f t="shared" ref="N15:N29" si="0">IF(C15&lt;&gt;"",AVERAGE(C15:L15),"")</f>
      </c>
      <c r="O15" s="508" t="s">
        <v>357</v>
      </c>
      <c r="P15" s="10" t="s">
        <v>230</v>
      </c>
      <c r="Q15" s="412" t="s">
        <v>358</v>
      </c>
      <c r="R15" s="5"/>
      <c r="S15" s="5"/>
      <c r="T15" s="413" t="s">
        <v>347</v>
      </c>
      <c r="U15" s="509" t="s">
        <v>417</v>
      </c>
      <c r="V15" s="508" t="s">
        <v>360</v>
      </c>
      <c r="W15" s="10" t="s">
        <v>230</v>
      </c>
      <c r="X15" s="5" t="s">
        <v>361</v>
      </c>
      <c r="Y15" s="340"/>
    </row>
    <row r="16" ht="18" customHeight="1" spans="1:25" x14ac:dyDescent="0.25">
      <c r="A16" s="415">
        <v>2</v>
      </c>
      <c r="B16" s="510">
        <v>2</v>
      </c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277"/>
      <c r="N16" s="511">
        <f t="shared" si="0"/>
      </c>
      <c r="O16" s="342"/>
      <c r="P16" s="10" t="s">
        <v>230</v>
      </c>
      <c r="Q16" s="5">
        <f>IF(C15&lt;&gt;"",CONCATENATE(TEXT($N$32,"0.000")," x ",CHOOSE($N$11,0,U16,U17)),"")</f>
      </c>
      <c r="R16" s="5"/>
      <c r="S16" s="5"/>
      <c r="T16" s="419">
        <v>2</v>
      </c>
      <c r="U16" s="10">
        <v>4.56</v>
      </c>
      <c r="V16" s="508"/>
      <c r="W16" s="10" t="s">
        <v>230</v>
      </c>
      <c r="X16" s="5">
        <f>IF(C15&lt;&gt;"",CONCATENATE("100(",TEXT($Q$17,"0.000"),"/",TEXT($Q$34,"0.000"),")"),"")</f>
      </c>
      <c r="Y16" s="340"/>
    </row>
    <row r="17" ht="18" customHeight="1" spans="1:25" x14ac:dyDescent="0.25">
      <c r="A17" s="421">
        <f>A16+1</f>
        <v>3</v>
      </c>
      <c r="B17" s="512">
        <v>3</v>
      </c>
      <c r="C17" s="417"/>
      <c r="D17" s="417"/>
      <c r="E17" s="417"/>
      <c r="F17" s="417"/>
      <c r="G17" s="417"/>
      <c r="H17" s="417"/>
      <c r="I17" s="417"/>
      <c r="J17" s="417"/>
      <c r="K17" s="417"/>
      <c r="L17" s="417"/>
      <c r="M17" s="277"/>
      <c r="N17" s="511">
        <f t="shared" si="0"/>
      </c>
      <c r="O17" s="513"/>
      <c r="P17" s="275" t="s">
        <v>230</v>
      </c>
      <c r="Q17" s="276">
        <f>IF(C15&lt;&gt;"",$N$32*(CHOOSE($N$11,0,U16,U17)),"")</f>
      </c>
      <c r="R17" s="277"/>
      <c r="S17" s="277"/>
      <c r="T17" s="423">
        <v>3</v>
      </c>
      <c r="U17" s="275">
        <v>3.05</v>
      </c>
      <c r="V17" s="513"/>
      <c r="W17" s="275" t="s">
        <v>230</v>
      </c>
      <c r="X17" s="424">
        <f>IF(C15&lt;&gt;"",100*($Q$17/$Q$34),"")</f>
      </c>
      <c r="Y17" s="514"/>
    </row>
    <row r="18" ht="18" customHeight="1" spans="1:25" x14ac:dyDescent="0.25">
      <c r="A18" s="421">
        <f>A17+1</f>
        <v>4</v>
      </c>
      <c r="B18" s="512" t="s">
        <v>362</v>
      </c>
      <c r="C18" s="425">
        <f>IF(C15&lt;&gt;"",SUM(C15:C17)/COUNT(C15:C17),"")</f>
      </c>
      <c r="D18" s="425">
        <f t="shared" ref="D18:L18" si="1">IF(D15&lt;&gt;"",SUM(D15:D17)/COUNT(D15:D17),"")</f>
      </c>
      <c r="E18" s="425">
        <f t="shared" si="1"/>
      </c>
      <c r="F18" s="425">
        <f t="shared" si="1"/>
      </c>
      <c r="G18" s="425">
        <f t="shared" si="1"/>
      </c>
      <c r="H18" s="425">
        <f t="shared" si="1"/>
      </c>
      <c r="I18" s="425">
        <f t="shared" si="1"/>
      </c>
      <c r="J18" s="425">
        <f t="shared" si="1"/>
      </c>
      <c r="K18" s="425">
        <f t="shared" si="1"/>
      </c>
      <c r="L18" s="425">
        <f t="shared" si="1"/>
      </c>
      <c r="M18" s="426" t="s">
        <v>363</v>
      </c>
      <c r="N18" s="511">
        <f t="shared" si="0"/>
      </c>
      <c r="O18" s="503" t="s">
        <v>364</v>
      </c>
      <c r="P18" s="267"/>
      <c r="Q18" s="267"/>
      <c r="R18" s="267"/>
      <c r="S18" s="267"/>
      <c r="T18" s="267"/>
      <c r="U18" s="267"/>
      <c r="V18" s="504"/>
      <c r="W18" s="267"/>
      <c r="X18" s="5"/>
      <c r="Y18" s="505"/>
    </row>
    <row r="19" ht="18" customHeight="1" spans="1:25" x14ac:dyDescent="0.25">
      <c r="A19" s="427">
        <f>A18+1</f>
        <v>5</v>
      </c>
      <c r="B19" s="515" t="s">
        <v>231</v>
      </c>
      <c r="C19" s="429">
        <f>IF(C15&lt;&gt;"",MAX(C15:C17)-MIN(C15:C17),"")</f>
      </c>
      <c r="D19" s="429">
        <f t="shared" ref="D19:L19" si="2">IF(D15&lt;&gt;"",MAX(D15:D17)-MIN(D15:D17),"")</f>
      </c>
      <c r="E19" s="429">
        <f t="shared" si="2"/>
      </c>
      <c r="F19" s="429">
        <f t="shared" si="2"/>
      </c>
      <c r="G19" s="429">
        <f t="shared" si="2"/>
      </c>
      <c r="H19" s="429">
        <f t="shared" si="2"/>
      </c>
      <c r="I19" s="429">
        <f t="shared" si="2"/>
      </c>
      <c r="J19" s="429">
        <f t="shared" si="2"/>
      </c>
      <c r="K19" s="429">
        <f t="shared" si="2"/>
      </c>
      <c r="L19" s="429">
        <f t="shared" si="2"/>
      </c>
      <c r="M19" s="430" t="s">
        <v>365</v>
      </c>
      <c r="N19" s="511">
        <f t="shared" si="0"/>
      </c>
      <c r="O19" s="508" t="s">
        <v>366</v>
      </c>
      <c r="P19" s="10" t="s">
        <v>230</v>
      </c>
      <c r="Q19" s="5" t="s">
        <v>367</v>
      </c>
      <c r="R19" s="5"/>
      <c r="S19" s="5"/>
      <c r="T19" s="5"/>
      <c r="U19" s="5"/>
      <c r="V19" s="508" t="s">
        <v>368</v>
      </c>
      <c r="W19" s="10" t="s">
        <v>230</v>
      </c>
      <c r="X19" s="5" t="s">
        <v>369</v>
      </c>
      <c r="Y19" s="340"/>
    </row>
    <row r="20" ht="18" customHeight="1" spans="1:25" x14ac:dyDescent="0.25">
      <c r="A20" s="407" t="s">
        <v>370</v>
      </c>
      <c r="B20" s="506">
        <v>1</v>
      </c>
      <c r="C20" s="409"/>
      <c r="D20" s="409"/>
      <c r="E20" s="409"/>
      <c r="F20" s="431"/>
      <c r="G20" s="431"/>
      <c r="H20" s="409"/>
      <c r="I20" s="431"/>
      <c r="J20" s="409"/>
      <c r="K20" s="409"/>
      <c r="L20" s="409"/>
      <c r="M20" s="410"/>
      <c r="N20" s="507">
        <f t="shared" si="0"/>
      </c>
      <c r="O20" s="342"/>
      <c r="P20" s="10" t="s">
        <v>230</v>
      </c>
      <c r="Q20" s="5">
        <f>IF(C15&lt;&gt;"",CONCATENATE("{(",TEXT($N$33,"0.000")," x ",CHOOSE($U$11,0,T22,U22),")^2 - (",TEXT($Q$17,"0.000")," ^2/(",$P$11," x ",$N$11,"))}^1/2"),"")</f>
      </c>
      <c r="R20" s="5"/>
      <c r="S20" s="5"/>
      <c r="T20" s="5"/>
      <c r="U20" s="5"/>
      <c r="V20" s="508"/>
      <c r="W20" s="10" t="s">
        <v>230</v>
      </c>
      <c r="X20" s="5">
        <f>IF(C15&lt;&gt;"",CONCATENATE("100(",TEXT($Q$21,"0.000"),"/",TEXT($Q$34,"0.000"),")"),"")</f>
      </c>
      <c r="Y20" s="340"/>
    </row>
    <row r="21" ht="18" customHeight="1" spans="1:25" x14ac:dyDescent="0.25">
      <c r="A21" s="421">
        <v>7</v>
      </c>
      <c r="B21" s="510">
        <v>2</v>
      </c>
      <c r="C21" s="417"/>
      <c r="D21" s="417"/>
      <c r="E21" s="417"/>
      <c r="F21" s="432"/>
      <c r="G21" s="432"/>
      <c r="H21" s="417"/>
      <c r="I21" s="432"/>
      <c r="J21" s="417"/>
      <c r="K21" s="417"/>
      <c r="L21" s="417"/>
      <c r="M21" s="277"/>
      <c r="N21" s="511">
        <f t="shared" si="0"/>
      </c>
      <c r="O21" s="342"/>
      <c r="P21" s="10" t="s">
        <v>230</v>
      </c>
      <c r="Q21" s="279">
        <f>IF(C15="","",IF(($N$33*CHOOSE($U$11,0,T22,U22))^2-$Q$17^2/($P$11*$N$11)&lt;0,0,(($N$33*CHOOSE($U$11,0,T22,U22))^2-$Q$17^2/($P$11*$N$11))^(1/2)))</f>
      </c>
      <c r="R21" s="5"/>
      <c r="S21" s="433" t="s">
        <v>349</v>
      </c>
      <c r="T21" s="413">
        <v>2</v>
      </c>
      <c r="U21" s="516">
        <v>3</v>
      </c>
      <c r="V21" s="508"/>
      <c r="W21" s="10" t="s">
        <v>371</v>
      </c>
      <c r="X21" s="424">
        <f>IF(C15&lt;&gt;"",100*($Q$21/$Q$34),"")</f>
      </c>
      <c r="Y21" s="340"/>
    </row>
    <row r="22" ht="18" customHeight="1" spans="1:25" x14ac:dyDescent="0.25">
      <c r="A22" s="421">
        <f>A21+1</f>
        <v>8</v>
      </c>
      <c r="B22" s="512">
        <v>3</v>
      </c>
      <c r="C22" s="417"/>
      <c r="D22" s="417"/>
      <c r="E22" s="417"/>
      <c r="F22" s="432"/>
      <c r="G22" s="432"/>
      <c r="H22" s="417"/>
      <c r="I22" s="432"/>
      <c r="J22" s="417"/>
      <c r="K22" s="417"/>
      <c r="L22" s="417"/>
      <c r="M22" s="277"/>
      <c r="N22" s="511">
        <f t="shared" si="0"/>
      </c>
      <c r="O22" s="513"/>
      <c r="P22" s="277"/>
      <c r="Q22" s="277"/>
      <c r="R22" s="277"/>
      <c r="S22" s="255" t="s">
        <v>372</v>
      </c>
      <c r="T22" s="255">
        <v>3.65</v>
      </c>
      <c r="U22" s="517">
        <v>2.7</v>
      </c>
      <c r="V22" s="342" t="s">
        <v>373</v>
      </c>
      <c r="W22" s="5"/>
      <c r="X22" s="5"/>
      <c r="Y22" s="340"/>
    </row>
    <row r="23" ht="18" customHeight="1" spans="1:25" x14ac:dyDescent="0.25">
      <c r="A23" s="421">
        <f>A22+1</f>
        <v>9</v>
      </c>
      <c r="B23" s="512" t="s">
        <v>362</v>
      </c>
      <c r="C23" s="425">
        <f t="shared" ref="C23:L23" si="3">IF(C20&lt;&gt;"",SUM(C20:C22)/COUNT(C20:C22),"")</f>
      </c>
      <c r="D23" s="425">
        <f t="shared" si="3"/>
      </c>
      <c r="E23" s="425">
        <f t="shared" si="3"/>
      </c>
      <c r="F23" s="425">
        <f t="shared" si="3"/>
      </c>
      <c r="G23" s="425">
        <f t="shared" si="3"/>
      </c>
      <c r="H23" s="425">
        <f t="shared" si="3"/>
      </c>
      <c r="I23" s="425">
        <f t="shared" si="3"/>
      </c>
      <c r="J23" s="425">
        <f t="shared" si="3"/>
      </c>
      <c r="K23" s="425">
        <f t="shared" si="3"/>
      </c>
      <c r="L23" s="425">
        <f t="shared" si="3"/>
      </c>
      <c r="M23" s="426" t="s">
        <v>374</v>
      </c>
      <c r="N23" s="511">
        <f t="shared" si="0"/>
      </c>
      <c r="O23" s="503" t="s">
        <v>375</v>
      </c>
      <c r="P23" s="267"/>
      <c r="Q23" s="267"/>
      <c r="R23" s="267"/>
      <c r="S23" s="267"/>
      <c r="T23" s="267"/>
      <c r="U23" s="267"/>
      <c r="V23" s="513" t="s">
        <v>376</v>
      </c>
      <c r="W23" s="277"/>
      <c r="X23" s="277"/>
      <c r="Y23" s="514"/>
    </row>
    <row r="24" ht="18" customHeight="1" spans="1:25" x14ac:dyDescent="0.25">
      <c r="A24" s="427">
        <f>A23+1</f>
        <v>10</v>
      </c>
      <c r="B24" s="515" t="s">
        <v>231</v>
      </c>
      <c r="C24" s="429">
        <f t="shared" ref="C24:L24" si="4">IF(C20&lt;&gt;"",MAX(C20:C22)-MIN(C20:C22),"")</f>
      </c>
      <c r="D24" s="429">
        <f t="shared" si="4"/>
      </c>
      <c r="E24" s="429">
        <f t="shared" si="4"/>
      </c>
      <c r="F24" s="429">
        <f t="shared" si="4"/>
      </c>
      <c r="G24" s="429">
        <f t="shared" si="4"/>
      </c>
      <c r="H24" s="429">
        <f t="shared" si="4"/>
      </c>
      <c r="I24" s="429">
        <f t="shared" si="4"/>
      </c>
      <c r="J24" s="429">
        <f t="shared" si="4"/>
      </c>
      <c r="K24" s="429">
        <f t="shared" si="4"/>
      </c>
      <c r="L24" s="429">
        <f t="shared" si="4"/>
      </c>
      <c r="M24" s="430" t="s">
        <v>377</v>
      </c>
      <c r="N24" s="511">
        <f t="shared" si="0"/>
      </c>
      <c r="O24" s="508" t="s">
        <v>378</v>
      </c>
      <c r="P24" s="10" t="s">
        <v>230</v>
      </c>
      <c r="Q24" s="5" t="s">
        <v>379</v>
      </c>
      <c r="R24" s="5"/>
      <c r="S24" s="5"/>
      <c r="T24" s="413" t="s">
        <v>348</v>
      </c>
      <c r="U24" s="509" t="s">
        <v>380</v>
      </c>
      <c r="V24" s="504"/>
      <c r="W24" s="267"/>
      <c r="X24" s="267"/>
      <c r="Y24" s="505"/>
    </row>
    <row r="25" ht="18" customHeight="1" spans="1:25" x14ac:dyDescent="0.25">
      <c r="A25" s="407" t="s">
        <v>381</v>
      </c>
      <c r="B25" s="506">
        <v>1</v>
      </c>
      <c r="C25" s="409"/>
      <c r="D25" s="409"/>
      <c r="E25" s="409"/>
      <c r="F25" s="431"/>
      <c r="G25" s="409"/>
      <c r="H25" s="409"/>
      <c r="I25" s="409"/>
      <c r="J25" s="409"/>
      <c r="K25" s="409"/>
      <c r="L25" s="409"/>
      <c r="M25" s="410"/>
      <c r="N25" s="507">
        <f t="shared" si="0"/>
      </c>
      <c r="O25" s="342"/>
      <c r="P25" s="10" t="s">
        <v>230</v>
      </c>
      <c r="Q25" s="435">
        <f>IF(C15&lt;&gt;"",CONCATENATE("{(",TEXT($Q$17,"0.000"),"^2 + ",TEXT($Q$21,"0.000"),"^2)}^1/2"),"")</f>
      </c>
      <c r="R25" s="5"/>
      <c r="S25" s="5"/>
      <c r="T25" s="419">
        <v>2</v>
      </c>
      <c r="U25" s="331">
        <v>3.65</v>
      </c>
      <c r="V25" s="508" t="s">
        <v>382</v>
      </c>
      <c r="W25" s="10" t="s">
        <v>230</v>
      </c>
      <c r="X25" s="5" t="s">
        <v>383</v>
      </c>
      <c r="Y25" s="340"/>
    </row>
    <row r="26" ht="18" customHeight="1" spans="1:25" x14ac:dyDescent="0.25">
      <c r="A26" s="421">
        <v>12</v>
      </c>
      <c r="B26" s="510">
        <v>2</v>
      </c>
      <c r="C26" s="417"/>
      <c r="D26" s="417"/>
      <c r="E26" s="417"/>
      <c r="F26" s="432"/>
      <c r="G26" s="417"/>
      <c r="H26" s="417"/>
      <c r="I26" s="417"/>
      <c r="J26" s="417"/>
      <c r="K26" s="417"/>
      <c r="L26" s="417"/>
      <c r="M26" s="277"/>
      <c r="N26" s="511">
        <f t="shared" si="0"/>
      </c>
      <c r="O26" s="513"/>
      <c r="P26" s="275" t="s">
        <v>230</v>
      </c>
      <c r="Q26" s="279">
        <f>IF(C15&lt;&gt;"",($Q$17^2+$Q$21^2)^(1/2),"")</f>
      </c>
      <c r="R26" s="277"/>
      <c r="S26" s="277"/>
      <c r="T26" s="419">
        <v>3</v>
      </c>
      <c r="U26" s="331">
        <v>2.7</v>
      </c>
      <c r="V26" s="508"/>
      <c r="W26" s="10" t="s">
        <v>230</v>
      </c>
      <c r="X26" s="5">
        <f>IF(C15&lt;&gt;"",CONCATENATE("100(",TEXT($Q$26,"0.000"),"/",TEXT($Q$34,"0.000"),")"),"")</f>
      </c>
      <c r="Y26" s="340"/>
    </row>
    <row r="27" ht="18" customHeight="1" spans="1:25" x14ac:dyDescent="0.25">
      <c r="A27" s="421">
        <f>A26+1</f>
        <v>13</v>
      </c>
      <c r="B27" s="512">
        <v>3</v>
      </c>
      <c r="C27" s="417"/>
      <c r="D27" s="417"/>
      <c r="E27" s="417"/>
      <c r="F27" s="432"/>
      <c r="G27" s="417"/>
      <c r="H27" s="417"/>
      <c r="I27" s="417"/>
      <c r="J27" s="417"/>
      <c r="K27" s="417"/>
      <c r="L27" s="417"/>
      <c r="M27" s="277"/>
      <c r="N27" s="511">
        <f t="shared" si="0"/>
      </c>
      <c r="O27" s="503" t="s">
        <v>384</v>
      </c>
      <c r="P27" s="267"/>
      <c r="Q27" s="267"/>
      <c r="R27" s="267"/>
      <c r="S27" s="267"/>
      <c r="T27" s="419">
        <v>4</v>
      </c>
      <c r="U27" s="331">
        <v>2.3</v>
      </c>
      <c r="V27" s="508"/>
      <c r="W27" s="10" t="s">
        <v>230</v>
      </c>
      <c r="X27" s="437">
        <f>IF(C15&lt;&gt;"",100*($Q$26/$Q$34),"")</f>
      </c>
      <c r="Y27" s="340"/>
    </row>
    <row r="28" ht="18" customHeight="1" spans="1:25" x14ac:dyDescent="0.25">
      <c r="A28" s="421">
        <f>A27+1</f>
        <v>14</v>
      </c>
      <c r="B28" s="512" t="s">
        <v>362</v>
      </c>
      <c r="C28" s="425">
        <f t="shared" ref="C28:L28" si="5">IF(C25&lt;&gt;"",SUM(C25:C27)/COUNT(C25:C27),"")</f>
      </c>
      <c r="D28" s="425">
        <f t="shared" si="5"/>
      </c>
      <c r="E28" s="425">
        <f t="shared" si="5"/>
      </c>
      <c r="F28" s="425">
        <f t="shared" si="5"/>
      </c>
      <c r="G28" s="425">
        <f t="shared" si="5"/>
      </c>
      <c r="H28" s="425">
        <f t="shared" si="5"/>
      </c>
      <c r="I28" s="425">
        <f t="shared" si="5"/>
      </c>
      <c r="J28" s="425">
        <f t="shared" si="5"/>
      </c>
      <c r="K28" s="425">
        <f t="shared" si="5"/>
      </c>
      <c r="L28" s="425">
        <f t="shared" si="5"/>
      </c>
      <c r="M28" s="426" t="s">
        <v>385</v>
      </c>
      <c r="N28" s="511">
        <f t="shared" si="0"/>
      </c>
      <c r="O28" s="508" t="s">
        <v>386</v>
      </c>
      <c r="P28" s="10" t="s">
        <v>230</v>
      </c>
      <c r="Q28" s="5" t="s">
        <v>387</v>
      </c>
      <c r="R28" s="5"/>
      <c r="S28" s="5"/>
      <c r="T28" s="419">
        <v>5</v>
      </c>
      <c r="U28" s="331">
        <v>2.08</v>
      </c>
      <c r="V28" s="438">
        <f>IF(C16&lt;&gt;"",IF(X27&lt;10,"Gage System O.K.",IF(X27&lt;30,"Gage System may be acceptable","Gage System needs improvement")),"")</f>
      </c>
      <c r="W28" s="439"/>
      <c r="X28" s="439"/>
      <c r="Y28" s="440"/>
    </row>
    <row r="29" ht="18" customHeight="1" spans="1:25" x14ac:dyDescent="0.25">
      <c r="A29" s="427">
        <f>A28+1</f>
        <v>15</v>
      </c>
      <c r="B29" s="515" t="s">
        <v>231</v>
      </c>
      <c r="C29" s="429">
        <f t="shared" ref="C29:L29" si="6">IF(C25&lt;&gt;"",MAX(C25:C27)-MIN(C25:C27),"")</f>
      </c>
      <c r="D29" s="429">
        <f t="shared" si="6"/>
      </c>
      <c r="E29" s="429">
        <f t="shared" si="6"/>
      </c>
      <c r="F29" s="429">
        <f t="shared" si="6"/>
      </c>
      <c r="G29" s="429">
        <f t="shared" si="6"/>
      </c>
      <c r="H29" s="429">
        <f t="shared" si="6"/>
      </c>
      <c r="I29" s="429">
        <f t="shared" si="6"/>
      </c>
      <c r="J29" s="429">
        <f t="shared" si="6"/>
      </c>
      <c r="K29" s="518">
        <f t="shared" si="6"/>
      </c>
      <c r="L29" s="429">
        <f t="shared" si="6"/>
      </c>
      <c r="M29" s="430" t="s">
        <v>388</v>
      </c>
      <c r="N29" s="511">
        <f t="shared" si="0"/>
      </c>
      <c r="O29" s="508"/>
      <c r="P29" s="10" t="s">
        <v>230</v>
      </c>
      <c r="Q29" s="5">
        <f>IF(C15&lt;&gt;"",CONCATENATE(TEXT($N$31,"0.000")," x ",CHOOSE($P$11,0,U25,U26,U27,U28,U29,U30,U31,U32,U33)),"")</f>
      </c>
      <c r="R29" s="5"/>
      <c r="S29" s="5"/>
      <c r="T29" s="419">
        <v>6</v>
      </c>
      <c r="U29" s="331">
        <v>1.93</v>
      </c>
      <c r="V29" s="342"/>
      <c r="W29" s="5"/>
      <c r="X29" s="5"/>
      <c r="Y29" s="340"/>
    </row>
    <row r="30" ht="18" customHeight="1" spans="1:25" x14ac:dyDescent="0.25">
      <c r="A30" s="519" t="s">
        <v>389</v>
      </c>
      <c r="B30" s="520"/>
      <c r="C30" s="443"/>
      <c r="D30" s="443"/>
      <c r="E30" s="443"/>
      <c r="F30" s="443"/>
      <c r="G30" s="443"/>
      <c r="H30" s="443"/>
      <c r="I30" s="443"/>
      <c r="J30" s="443"/>
      <c r="K30" s="443"/>
      <c r="L30" s="443"/>
      <c r="M30" s="444" t="s">
        <v>390</v>
      </c>
      <c r="N30" s="521">
        <f>IF(C15&lt;&gt;"",AVERAGE(C31:L31),"")</f>
      </c>
      <c r="O30" s="522"/>
      <c r="P30" s="275" t="s">
        <v>230</v>
      </c>
      <c r="Q30" s="279">
        <f>IF(C15&lt;&gt;"",$N$31*CHOOSE($P$11,0,U25,U26,U27,U28,U29,U30,U31,U32,U33),"")</f>
      </c>
      <c r="R30" s="277"/>
      <c r="S30" s="277"/>
      <c r="T30" s="419">
        <v>7</v>
      </c>
      <c r="U30" s="331">
        <v>1.82</v>
      </c>
      <c r="V30" s="508" t="s">
        <v>391</v>
      </c>
      <c r="W30" s="10" t="s">
        <v>230</v>
      </c>
      <c r="X30" s="5" t="s">
        <v>392</v>
      </c>
      <c r="Y30" s="340"/>
    </row>
    <row r="31" ht="18" customHeight="1" spans="1:25" x14ac:dyDescent="0.25">
      <c r="A31" s="523" t="s">
        <v>393</v>
      </c>
      <c r="B31" s="524"/>
      <c r="C31" s="448">
        <f>IF(C18&lt;&gt;"",SUM(C18,C23,C28)/COUNT(C18,C23,C28),"")</f>
      </c>
      <c r="D31" s="448">
        <f t="shared" ref="D31:L31" si="7">IF(D18&lt;&gt;"",SUM(D18,D23,D28)/COUNT(D18,D23,D28),"")</f>
      </c>
      <c r="E31" s="448">
        <f t="shared" si="7"/>
      </c>
      <c r="F31" s="448">
        <f t="shared" si="7"/>
      </c>
      <c r="G31" s="448">
        <f t="shared" si="7"/>
      </c>
      <c r="H31" s="448">
        <f t="shared" si="7"/>
      </c>
      <c r="I31" s="448">
        <f t="shared" si="7"/>
      </c>
      <c r="J31" s="448">
        <f t="shared" si="7"/>
      </c>
      <c r="K31" s="448">
        <f t="shared" si="7"/>
      </c>
      <c r="L31" s="448">
        <f t="shared" si="7"/>
      </c>
      <c r="M31" s="449" t="s">
        <v>394</v>
      </c>
      <c r="N31" s="525">
        <f>IF(C15&lt;&gt;"",MAX(C31:L31)-MIN(C31:L31),"")</f>
      </c>
      <c r="O31" s="503" t="s">
        <v>395</v>
      </c>
      <c r="P31" s="267"/>
      <c r="Q31" s="267"/>
      <c r="R31" s="267"/>
      <c r="S31" s="267"/>
      <c r="T31" s="419">
        <v>8</v>
      </c>
      <c r="U31" s="331">
        <v>1.74</v>
      </c>
      <c r="V31" s="508"/>
      <c r="W31" s="10" t="s">
        <v>230</v>
      </c>
      <c r="X31" s="5">
        <f>IF(C15&lt;&gt;"",CONCATENATE("100(",TEXT($Q$30,"0.000"),"/",TEXT($Q$36,"0.000"),")"),"")</f>
      </c>
      <c r="Y31" s="340"/>
    </row>
    <row r="32" ht="18" customHeight="1" spans="1:25" x14ac:dyDescent="0.25">
      <c r="A32" s="526">
        <f>A29+2</f>
        <v>17</v>
      </c>
      <c r="B32" s="527" t="s">
        <v>396</v>
      </c>
      <c r="C32" s="527"/>
      <c r="D32" s="527"/>
      <c r="E32" s="527"/>
      <c r="F32" s="527"/>
      <c r="G32" s="527"/>
      <c r="H32" s="527"/>
      <c r="I32" s="527"/>
      <c r="J32" s="527"/>
      <c r="K32" s="527"/>
      <c r="L32" s="528"/>
      <c r="M32" s="452" t="s">
        <v>397</v>
      </c>
      <c r="N32" s="507">
        <f>IF(C15&lt;&gt;"",SUM(N19,N24,N29)/COUNT(C15,C20,C25),"")</f>
      </c>
      <c r="O32" s="508" t="s">
        <v>398</v>
      </c>
      <c r="P32" s="10" t="s">
        <v>230</v>
      </c>
      <c r="Q32" s="5" t="s">
        <v>399</v>
      </c>
      <c r="R32" s="5"/>
      <c r="S32" s="5"/>
      <c r="T32" s="419">
        <v>9</v>
      </c>
      <c r="U32" s="331">
        <v>1.67</v>
      </c>
      <c r="V32" s="508"/>
      <c r="W32" s="10" t="s">
        <v>230</v>
      </c>
      <c r="X32" s="424">
        <f>IF(C15&lt;&gt;"",100*($Q$30/$Q$34),"")</f>
      </c>
      <c r="Y32" s="340"/>
    </row>
    <row r="33" ht="18" customHeight="1" spans="1:25" x14ac:dyDescent="0.25">
      <c r="A33" s="529">
        <f>A32+1</f>
        <v>18</v>
      </c>
      <c r="B33" s="530" t="s">
        <v>400</v>
      </c>
      <c r="C33" s="530"/>
      <c r="D33" s="530"/>
      <c r="E33" s="530"/>
      <c r="F33" s="530"/>
      <c r="G33" s="530"/>
      <c r="H33" s="530"/>
      <c r="I33" s="530"/>
      <c r="J33" s="530"/>
      <c r="K33" s="530"/>
      <c r="L33" s="531"/>
      <c r="M33" s="454" t="s">
        <v>401</v>
      </c>
      <c r="N33" s="532">
        <f>IF(C15&lt;&gt;"",MAX(N18,N23,N28)-MIN(N18,N23,N28),"")</f>
      </c>
      <c r="O33" s="508"/>
      <c r="P33" s="10" t="s">
        <v>230</v>
      </c>
      <c r="Q33" s="456" t="str">
        <f>CONCATENATE(J9," - ",I9)</f>
        <v> - </v>
      </c>
      <c r="R33" s="5"/>
      <c r="S33" s="5"/>
      <c r="T33" s="423">
        <v>10</v>
      </c>
      <c r="U33" s="533">
        <v>1.62</v>
      </c>
      <c r="V33" s="342"/>
      <c r="W33" s="5"/>
      <c r="X33" s="5"/>
      <c r="Y33" s="340"/>
    </row>
    <row r="34" ht="18" customHeight="1" spans="1:25" x14ac:dyDescent="0.25">
      <c r="A34" s="529">
        <f>A33+1</f>
        <v>19</v>
      </c>
      <c r="B34" s="534" t="s">
        <v>402</v>
      </c>
      <c r="C34" s="534"/>
      <c r="D34" s="534"/>
      <c r="E34" s="534"/>
      <c r="F34" s="534"/>
      <c r="G34" s="534"/>
      <c r="H34" s="534"/>
      <c r="I34" s="534"/>
      <c r="J34" s="534"/>
      <c r="K34" s="534"/>
      <c r="L34" s="535"/>
      <c r="M34" s="462" t="s">
        <v>403</v>
      </c>
      <c r="N34" s="532">
        <f>IF(C15&lt;&gt;"",IF(N11=3,2.58*N32,3.27*N32),"")</f>
      </c>
      <c r="O34" s="522"/>
      <c r="P34" s="275" t="s">
        <v>230</v>
      </c>
      <c r="Q34" s="276">
        <f>IF(C15&lt;&gt;"",J9-I9,"")</f>
      </c>
      <c r="R34" s="277"/>
      <c r="S34" s="277"/>
      <c r="T34" s="277"/>
      <c r="U34" s="277"/>
      <c r="V34" s="342"/>
      <c r="W34" s="5"/>
      <c r="X34" s="5"/>
      <c r="Y34" s="340"/>
    </row>
    <row r="35" ht="18" customHeight="1" spans="1:25" x14ac:dyDescent="0.25">
      <c r="A35" s="536">
        <f>A34+1</f>
        <v>20</v>
      </c>
      <c r="B35" s="537" t="s">
        <v>404</v>
      </c>
      <c r="C35" s="538"/>
      <c r="D35" s="538"/>
      <c r="E35" s="538"/>
      <c r="F35" s="538"/>
      <c r="G35" s="538"/>
      <c r="H35" s="538"/>
      <c r="I35" s="538"/>
      <c r="J35" s="538"/>
      <c r="K35" s="538"/>
      <c r="L35" s="539"/>
      <c r="M35" s="464" t="s">
        <v>405</v>
      </c>
      <c r="N35" s="540">
        <f>IF(C15&lt;&gt;"",0,"")</f>
      </c>
      <c r="O35" s="541"/>
      <c r="P35" s="542"/>
      <c r="Q35" s="543"/>
      <c r="R35" s="347"/>
      <c r="S35" s="347"/>
      <c r="T35" s="347"/>
      <c r="U35" s="347"/>
      <c r="V35" s="346"/>
      <c r="W35" s="347"/>
      <c r="X35" s="347"/>
      <c r="Y35" s="348"/>
    </row>
    <row r="36" ht="18" customHeight="1" spans="1:25" x14ac:dyDescent="0.25">
      <c r="A36" s="336"/>
      <c r="B36" s="337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442"/>
      <c r="O36" s="466" t="s">
        <v>406</v>
      </c>
      <c r="P36" s="467"/>
      <c r="Q36" s="467"/>
      <c r="R36" s="467"/>
      <c r="S36" s="467"/>
      <c r="T36" s="467"/>
      <c r="U36" s="467"/>
      <c r="V36" s="467"/>
      <c r="W36" s="467"/>
      <c r="X36" s="467"/>
      <c r="Y36" s="468"/>
    </row>
    <row r="37" spans="1:25" x14ac:dyDescent="0.25">
      <c r="A37" s="469" t="s">
        <v>407</v>
      </c>
      <c r="B37" s="30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470"/>
      <c r="O37" s="471" t="s">
        <v>408</v>
      </c>
      <c r="P37" s="301"/>
      <c r="Q37" s="301"/>
      <c r="R37" s="301"/>
      <c r="S37" s="301"/>
      <c r="T37" s="301"/>
      <c r="U37" s="301"/>
      <c r="V37" s="301"/>
      <c r="W37" s="301"/>
      <c r="X37" s="301"/>
      <c r="Y37" s="472"/>
    </row>
    <row r="38" spans="1:25" x14ac:dyDescent="0.25">
      <c r="A38" s="469" t="s">
        <v>409</v>
      </c>
      <c r="B38" s="301"/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470"/>
      <c r="O38" s="5"/>
      <c r="P38" s="301" t="s">
        <v>410</v>
      </c>
      <c r="Q38" s="301"/>
      <c r="R38" s="301"/>
      <c r="S38" s="301"/>
      <c r="T38" s="301"/>
      <c r="U38" s="301"/>
      <c r="V38" s="301"/>
      <c r="W38" s="301"/>
      <c r="X38" s="301"/>
      <c r="Y38" s="472"/>
    </row>
    <row r="39" spans="1:25" x14ac:dyDescent="0.25">
      <c r="A39" s="469" t="s">
        <v>411</v>
      </c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470"/>
      <c r="O39" s="471" t="s">
        <v>412</v>
      </c>
      <c r="P39" s="301"/>
      <c r="Q39" s="301"/>
      <c r="R39" s="301"/>
      <c r="S39" s="301"/>
      <c r="T39" s="301"/>
      <c r="U39" s="301"/>
      <c r="V39" s="301"/>
      <c r="W39" s="301"/>
      <c r="X39" s="301"/>
      <c r="Y39" s="472"/>
    </row>
    <row r="40" spans="1:25" x14ac:dyDescent="0.25">
      <c r="A40" s="34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271"/>
      <c r="O40" s="471" t="s">
        <v>413</v>
      </c>
      <c r="P40" s="301"/>
      <c r="Q40" s="301"/>
      <c r="R40" s="301"/>
      <c r="S40" s="301"/>
      <c r="T40" s="301"/>
      <c r="U40" s="301"/>
      <c r="V40" s="301"/>
      <c r="W40" s="301"/>
      <c r="X40" s="301"/>
      <c r="Y40" s="472"/>
    </row>
    <row r="41" spans="1:25" x14ac:dyDescent="0.25">
      <c r="A41" s="473" t="s">
        <v>414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544"/>
      <c r="O41" s="471" t="s">
        <v>415</v>
      </c>
      <c r="P41" s="301"/>
      <c r="Q41" s="301"/>
      <c r="R41" s="301"/>
      <c r="S41" s="301"/>
      <c r="T41" s="301"/>
      <c r="U41" s="301"/>
      <c r="V41" s="301"/>
      <c r="W41" s="301"/>
      <c r="X41" s="301"/>
      <c r="Y41" s="472"/>
    </row>
    <row r="42" ht="13.5" customHeight="1" spans="1:25" x14ac:dyDescent="0.25">
      <c r="A42" s="346"/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447"/>
      <c r="O42" s="476" t="s">
        <v>416</v>
      </c>
      <c r="P42" s="477"/>
      <c r="Q42" s="477"/>
      <c r="R42" s="477"/>
      <c r="S42" s="477"/>
      <c r="T42" s="477"/>
      <c r="U42" s="477"/>
      <c r="V42" s="477"/>
      <c r="W42" s="477"/>
      <c r="X42" s="477"/>
      <c r="Y42" s="478"/>
    </row>
  </sheetData>
  <mergeCells count="58">
    <mergeCell ref="A1:N1"/>
    <mergeCell ref="O1:Y1"/>
    <mergeCell ref="A2:N2"/>
    <mergeCell ref="O2:Y2"/>
    <mergeCell ref="M3:N3"/>
    <mergeCell ref="N4:O4"/>
    <mergeCell ref="U4:V4"/>
    <mergeCell ref="W4:Y4"/>
    <mergeCell ref="D5:J5"/>
    <mergeCell ref="N5:Q5"/>
    <mergeCell ref="D6:E6"/>
    <mergeCell ref="N6:O6"/>
    <mergeCell ref="U6:V6"/>
    <mergeCell ref="W6:Y6"/>
    <mergeCell ref="D7:J7"/>
    <mergeCell ref="N7:Q7"/>
    <mergeCell ref="D8:H8"/>
    <mergeCell ref="I8:J8"/>
    <mergeCell ref="N8:O8"/>
    <mergeCell ref="U8:V8"/>
    <mergeCell ref="W8:Y8"/>
    <mergeCell ref="D9:H9"/>
    <mergeCell ref="N9:Q9"/>
    <mergeCell ref="D10:J10"/>
    <mergeCell ref="N10:O10"/>
    <mergeCell ref="P10:Q10"/>
    <mergeCell ref="U10:V10"/>
    <mergeCell ref="W10:Y10"/>
    <mergeCell ref="D11:J11"/>
    <mergeCell ref="N11:O11"/>
    <mergeCell ref="P11:Q11"/>
    <mergeCell ref="U11:V11"/>
    <mergeCell ref="W11:Y11"/>
    <mergeCell ref="A13:B13"/>
    <mergeCell ref="C13:L13"/>
    <mergeCell ref="M13:N13"/>
    <mergeCell ref="O13:U13"/>
    <mergeCell ref="V13:Y13"/>
    <mergeCell ref="A14:B14"/>
    <mergeCell ref="M14:N14"/>
    <mergeCell ref="V28:Y28"/>
    <mergeCell ref="A30:B30"/>
    <mergeCell ref="A31:B31"/>
    <mergeCell ref="B32:L32"/>
    <mergeCell ref="B33:L33"/>
    <mergeCell ref="B34:L34"/>
    <mergeCell ref="B35:L35"/>
    <mergeCell ref="O36:Y36"/>
    <mergeCell ref="A37:N37"/>
    <mergeCell ref="O37:Y37"/>
    <mergeCell ref="A38:N38"/>
    <mergeCell ref="P38:Y38"/>
    <mergeCell ref="A39:N39"/>
    <mergeCell ref="O39:Y39"/>
    <mergeCell ref="O40:Y40"/>
    <mergeCell ref="B41:N41"/>
    <mergeCell ref="O41:Y41"/>
    <mergeCell ref="O42:Y42"/>
  </mergeCells>
  <conditionalFormatting sqref="V28:Y28">
    <cfRule type="cellIs" dxfId="3" priority="1" operator="equal">
      <formula>"Gage System O.K."</formula>
    </cfRule>
    <cfRule type="cellIs" dxfId="4" priority="2" operator="equal">
      <formula>"Gage System may be acceptable"</formula>
    </cfRule>
    <cfRule type="cellIs" dxfId="5" priority="3" operator="equal">
      <formula>"Gage System needs improvement"</formula>
    </cfRule>
  </conditionalFormatting>
  <printOptions horizontalCentered="1" verticalCentered="1"/>
  <pageMargins left="0" right="0" top="0" bottom="0" header="0" footer="0"/>
  <pageSetup orientation="landscape" horizontalDpi="4294967295" verticalDpi="0" scale="74" fitToWidth="1" fitToHeight="1" firstPageNumber="1" useFirstPageNumber="1" copies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 zoomScale="100" zoomScaleNormal="100"/>
  </sheetViews>
  <sheetFormatPr defaultRowHeight="12.75" outlineLevelRow="0" outlineLevelCol="0" x14ac:dyDescent="0" customHeight="1"/>
  <sheetData>
    <row r="1" ht="18.75" customHeight="1" spans="4:6" x14ac:dyDescent="0.25">
      <c r="D1" s="16" t="s">
        <v>286</v>
      </c>
      <c r="E1" s="16"/>
      <c r="F1" s="16"/>
    </row>
    <row r="2" ht="13.5" customHeight="1" x14ac:dyDescent="0.25"/>
    <row r="3" ht="6" customHeight="1" spans="1:13" x14ac:dyDescent="0.25">
      <c r="A3" s="336"/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8"/>
    </row>
    <row r="4" spans="1:13" x14ac:dyDescent="0.25">
      <c r="A4" s="339" t="s">
        <v>287</v>
      </c>
      <c r="B4" s="9" t="s">
        <v>288</v>
      </c>
      <c r="C4" s="5"/>
      <c r="D4" s="5"/>
      <c r="E4" s="5"/>
      <c r="F4" s="5"/>
      <c r="G4" s="5"/>
      <c r="H4" s="5"/>
      <c r="I4" s="5"/>
      <c r="J4" s="5"/>
      <c r="K4" s="5"/>
      <c r="L4" s="5"/>
      <c r="M4" s="340"/>
    </row>
    <row r="5" spans="1:13" x14ac:dyDescent="0.25">
      <c r="A5" s="341" t="s">
        <v>289</v>
      </c>
      <c r="B5" s="9" t="s">
        <v>290</v>
      </c>
      <c r="C5" s="5"/>
      <c r="D5" s="5"/>
      <c r="E5" s="5"/>
      <c r="F5" s="5"/>
      <c r="G5" s="5"/>
      <c r="H5" s="5"/>
      <c r="I5" s="5"/>
      <c r="J5" s="5"/>
      <c r="K5" s="5"/>
      <c r="L5" s="5"/>
      <c r="M5" s="340"/>
    </row>
    <row r="6" ht="6" customHeight="1" spans="1:13" x14ac:dyDescent="0.25">
      <c r="A6" s="34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340"/>
    </row>
    <row r="7" spans="1:13" x14ac:dyDescent="0.25">
      <c r="A7" s="339" t="s">
        <v>291</v>
      </c>
      <c r="B7" s="343" t="s">
        <v>292</v>
      </c>
      <c r="C7" s="344"/>
      <c r="D7" s="344"/>
      <c r="E7" s="344"/>
      <c r="F7" s="344"/>
      <c r="G7" s="344"/>
      <c r="H7" s="9" t="s">
        <v>293</v>
      </c>
      <c r="I7" s="5"/>
      <c r="J7" s="5"/>
      <c r="K7" s="5"/>
      <c r="L7" s="5"/>
      <c r="M7" s="340"/>
    </row>
    <row r="8" ht="6" customHeight="1" spans="1:13" x14ac:dyDescent="0.25">
      <c r="A8" s="34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340"/>
    </row>
    <row r="9" spans="1:13" x14ac:dyDescent="0.25">
      <c r="A9" s="339" t="s">
        <v>294</v>
      </c>
      <c r="B9" s="9" t="s">
        <v>295</v>
      </c>
      <c r="C9" s="5"/>
      <c r="D9" s="5"/>
      <c r="E9" s="5"/>
      <c r="F9" s="5"/>
      <c r="G9" s="5"/>
      <c r="H9" s="5"/>
      <c r="I9" s="5"/>
      <c r="J9" s="5"/>
      <c r="K9" s="5"/>
      <c r="L9" s="5"/>
      <c r="M9" s="340"/>
    </row>
    <row r="10" spans="1:13" x14ac:dyDescent="0.25">
      <c r="A10" s="341" t="s">
        <v>296</v>
      </c>
      <c r="B10" s="9" t="s">
        <v>297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340"/>
    </row>
    <row r="11" spans="1:13" x14ac:dyDescent="0.25">
      <c r="A11" s="341" t="s">
        <v>296</v>
      </c>
      <c r="B11" s="9" t="s">
        <v>298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340"/>
    </row>
    <row r="12" ht="6" customHeight="1" spans="1:13" x14ac:dyDescent="0.25">
      <c r="A12" s="34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340"/>
    </row>
    <row r="13" spans="1:13" x14ac:dyDescent="0.25">
      <c r="A13" s="339" t="s">
        <v>299</v>
      </c>
      <c r="B13" s="9" t="s">
        <v>300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340"/>
    </row>
    <row r="14" spans="1:13" x14ac:dyDescent="0.25">
      <c r="A14" s="341" t="s">
        <v>301</v>
      </c>
      <c r="B14" s="154" t="s">
        <v>302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340"/>
    </row>
    <row r="15" spans="1:13" x14ac:dyDescent="0.25">
      <c r="A15" s="341"/>
      <c r="B15" s="154" t="s">
        <v>303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340"/>
    </row>
    <row r="16" ht="6" customHeight="1" spans="1:13" x14ac:dyDescent="0.25">
      <c r="A16" s="34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340"/>
    </row>
    <row r="17" spans="1:13" x14ac:dyDescent="0.25">
      <c r="A17" s="339" t="s">
        <v>304</v>
      </c>
      <c r="B17" s="9" t="s">
        <v>305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340"/>
    </row>
    <row r="18" spans="1:13" x14ac:dyDescent="0.25">
      <c r="A18" s="341" t="s">
        <v>296</v>
      </c>
      <c r="B18" s="9" t="s">
        <v>306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340"/>
    </row>
    <row r="19" ht="6" customHeight="1" spans="1:13" x14ac:dyDescent="0.25">
      <c r="A19" s="34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340"/>
    </row>
    <row r="20" spans="1:13" x14ac:dyDescent="0.25">
      <c r="A20" s="339" t="s">
        <v>307</v>
      </c>
      <c r="B20" s="9" t="s">
        <v>308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340"/>
    </row>
    <row r="21" spans="1:13" x14ac:dyDescent="0.25">
      <c r="A21" s="341" t="s">
        <v>296</v>
      </c>
      <c r="B21" s="9" t="s">
        <v>309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340"/>
    </row>
    <row r="22" ht="6" customHeight="1" spans="1:13" x14ac:dyDescent="0.25">
      <c r="A22" s="34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340"/>
    </row>
    <row r="23" spans="1:13" x14ac:dyDescent="0.25">
      <c r="A23" s="339" t="s">
        <v>310</v>
      </c>
      <c r="B23" s="9" t="s">
        <v>311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340"/>
    </row>
    <row r="24" spans="1:13" x14ac:dyDescent="0.25">
      <c r="A24" s="341" t="s">
        <v>312</v>
      </c>
      <c r="B24" s="9" t="s">
        <v>313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340"/>
    </row>
    <row r="25" spans="1:13" x14ac:dyDescent="0.25">
      <c r="A25" s="341" t="s">
        <v>301</v>
      </c>
      <c r="B25" s="9" t="s">
        <v>314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340"/>
    </row>
    <row r="26" spans="1:13" x14ac:dyDescent="0.25">
      <c r="A26" s="341" t="s">
        <v>296</v>
      </c>
      <c r="B26" s="9" t="s">
        <v>315</v>
      </c>
      <c r="C26" s="5"/>
      <c r="D26" s="5"/>
      <c r="E26" s="5"/>
      <c r="F26" s="9"/>
      <c r="G26" s="5"/>
      <c r="H26" s="5"/>
      <c r="I26" s="5"/>
      <c r="J26" s="5"/>
      <c r="K26" s="5"/>
      <c r="L26" s="5"/>
      <c r="M26" s="340"/>
    </row>
    <row r="27" spans="1:13" x14ac:dyDescent="0.25">
      <c r="A27" s="341" t="s">
        <v>316</v>
      </c>
      <c r="B27" s="9" t="s">
        <v>317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340"/>
    </row>
    <row r="28" ht="6" customHeight="1" spans="1:13" x14ac:dyDescent="0.25">
      <c r="A28" s="34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340"/>
    </row>
    <row r="29" spans="1:13" x14ac:dyDescent="0.25">
      <c r="A29" s="339" t="s">
        <v>318</v>
      </c>
      <c r="B29" s="9" t="s">
        <v>319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340"/>
    </row>
    <row r="30" spans="1:13" x14ac:dyDescent="0.25">
      <c r="A30" s="342" t="s">
        <v>296</v>
      </c>
      <c r="B30" s="9" t="s">
        <v>320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340"/>
    </row>
    <row r="31" spans="1:13" x14ac:dyDescent="0.25">
      <c r="A31" s="342" t="s">
        <v>296</v>
      </c>
      <c r="B31" s="9" t="s">
        <v>321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340"/>
    </row>
    <row r="32" ht="6" customHeight="1" spans="1:13" x14ac:dyDescent="0.25">
      <c r="A32" s="34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340"/>
    </row>
    <row r="33" spans="1:13" x14ac:dyDescent="0.25">
      <c r="A33" s="339" t="s">
        <v>322</v>
      </c>
      <c r="B33" s="9" t="s">
        <v>323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340"/>
    </row>
    <row r="34" ht="6" customHeight="1" spans="1:13" x14ac:dyDescent="0.25">
      <c r="A34" s="34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340"/>
    </row>
    <row r="35" spans="1:13" x14ac:dyDescent="0.25">
      <c r="A35" s="339" t="s">
        <v>324</v>
      </c>
      <c r="B35" s="9" t="s">
        <v>325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340"/>
    </row>
    <row r="36" spans="1:13" x14ac:dyDescent="0.25">
      <c r="A36" s="339"/>
      <c r="B36" s="345" t="s">
        <v>326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340"/>
    </row>
    <row r="37" spans="1:13" x14ac:dyDescent="0.25">
      <c r="A37" s="339"/>
      <c r="B37" s="345" t="s">
        <v>327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340"/>
    </row>
    <row r="38" ht="6" customHeight="1" spans="1:13" x14ac:dyDescent="0.25">
      <c r="A38" s="34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340"/>
    </row>
    <row r="39" spans="1:13" x14ac:dyDescent="0.25">
      <c r="A39" s="339" t="s">
        <v>328</v>
      </c>
      <c r="B39" s="154" t="s">
        <v>329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340"/>
    </row>
    <row r="40" ht="6" customHeight="1" spans="1:13" x14ac:dyDescent="0.25">
      <c r="A40" s="346"/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8"/>
    </row>
  </sheetData>
  <pageMargins left="0.75" right="0.75" top="1" bottom="1" header="0.5" footer="0.5"/>
  <pageSetup orientation="landscape" horizontalDpi="4294967295" verticalDpi="0" scale="100" fitToWidth="1" fitToHeight="1" firstPageNumber="1" useFirstPageNumber="1" copies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2"/>
  <sheetViews>
    <sheetView workbookViewId="0" zoomScale="100" zoomScaleNormal="100"/>
  </sheetViews>
  <sheetFormatPr defaultRowHeight="12.75" outlineLevelRow="0" outlineLevelCol="0" x14ac:dyDescent="0" customHeight="1"/>
  <cols>
    <col min="1" max="1" width="7.5703125" customWidth="1"/>
    <col min="2" max="2" width="4.85546875" customWidth="1"/>
    <col min="3" max="3" width="7" customWidth="1"/>
    <col min="4" max="12" width="6.28515625" customWidth="1"/>
    <col min="13" max="13" width="5.28515625" customWidth="1"/>
    <col min="14" max="14" width="6.28515625" customWidth="1"/>
    <col min="15" max="16" width="7.7109375" customWidth="1"/>
    <col min="17" max="17" width="15.7109375" customWidth="1"/>
    <col min="18" max="21" width="7.7109375" customWidth="1"/>
    <col min="22" max="22" width="9.28515625" customWidth="1"/>
    <col min="23" max="23" width="8.28515625" customWidth="1"/>
    <col min="24" max="25" width="9.28515625" customWidth="1"/>
  </cols>
  <sheetData>
    <row r="1" ht="18" customHeight="1" spans="1:25" x14ac:dyDescent="0.25">
      <c r="A1" s="349" t="s">
        <v>330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50" t="s">
        <v>330</v>
      </c>
      <c r="P1" s="349"/>
      <c r="Q1" s="349"/>
      <c r="R1" s="349"/>
      <c r="S1" s="349"/>
      <c r="T1" s="349"/>
      <c r="U1" s="349"/>
      <c r="V1" s="349"/>
      <c r="W1" s="349"/>
      <c r="X1" s="349"/>
      <c r="Y1" s="349"/>
    </row>
    <row r="2" ht="18" customHeight="1" spans="1:25" x14ac:dyDescent="0.25">
      <c r="A2" s="349" t="s">
        <v>331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50" t="s">
        <v>331</v>
      </c>
      <c r="P2" s="349"/>
      <c r="Q2" s="349"/>
      <c r="R2" s="349"/>
      <c r="S2" s="349"/>
      <c r="T2" s="349"/>
      <c r="U2" s="349"/>
      <c r="V2" s="349"/>
      <c r="W2" s="349"/>
      <c r="X2" s="349"/>
      <c r="Y2" s="349"/>
    </row>
    <row r="3" ht="13.5" customHeight="1" spans="8:25" x14ac:dyDescent="0.25">
      <c r="H3" s="5"/>
      <c r="I3" s="5"/>
      <c r="J3" s="5"/>
      <c r="K3" s="5"/>
      <c r="L3" s="5"/>
      <c r="M3" s="351"/>
      <c r="N3" s="351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4:26" s="236" customFormat="1" x14ac:dyDescent="0.25">
      <c r="D4" s="352" t="s">
        <v>96</v>
      </c>
      <c r="E4" s="353"/>
      <c r="F4" s="354"/>
      <c r="G4" s="354"/>
      <c r="H4" s="354"/>
      <c r="I4" s="354"/>
      <c r="J4" s="355"/>
      <c r="K4" s="306"/>
      <c r="L4" s="306"/>
      <c r="M4" s="306"/>
      <c r="N4" s="356" t="s">
        <v>332</v>
      </c>
      <c r="O4" s="357"/>
      <c r="P4" s="354"/>
      <c r="Q4" s="355"/>
      <c r="R4" s="306"/>
      <c r="S4" s="306"/>
      <c r="T4" s="306"/>
      <c r="U4" s="356" t="s">
        <v>254</v>
      </c>
      <c r="V4" s="358"/>
      <c r="W4" s="359" t="s">
        <v>333</v>
      </c>
      <c r="X4" s="360"/>
      <c r="Y4" s="361"/>
      <c r="Z4" s="236"/>
    </row>
    <row r="5" ht="13.5" customHeight="1" spans="4:26" x14ac:dyDescent="0.25">
      <c r="D5" s="362" t="s">
        <v>334</v>
      </c>
      <c r="E5" s="363"/>
      <c r="F5" s="363"/>
      <c r="G5" s="363"/>
      <c r="H5" s="363"/>
      <c r="I5" s="363"/>
      <c r="J5" s="364"/>
      <c r="K5" s="306"/>
      <c r="L5" s="306"/>
      <c r="M5" s="306"/>
      <c r="N5" s="365" t="s">
        <v>335</v>
      </c>
      <c r="O5" s="366"/>
      <c r="P5" s="366"/>
      <c r="Q5" s="367"/>
      <c r="R5" s="306"/>
      <c r="S5" s="306"/>
      <c r="T5" s="306"/>
      <c r="U5" s="368"/>
      <c r="V5" s="369"/>
      <c r="W5" s="370"/>
      <c r="X5" s="371"/>
      <c r="Y5" s="369"/>
      <c r="Z5" s="5"/>
    </row>
    <row r="6" spans="4:26" s="236" customFormat="1" x14ac:dyDescent="0.25">
      <c r="D6" s="356" t="s">
        <v>336</v>
      </c>
      <c r="E6" s="357"/>
      <c r="F6" s="354"/>
      <c r="G6" s="354"/>
      <c r="H6" s="354"/>
      <c r="I6" s="354"/>
      <c r="J6" s="355"/>
      <c r="K6" s="306"/>
      <c r="L6" s="306"/>
      <c r="M6" s="306"/>
      <c r="N6" s="372" t="s">
        <v>337</v>
      </c>
      <c r="O6" s="373"/>
      <c r="P6" s="354"/>
      <c r="Q6" s="355"/>
      <c r="R6" s="306"/>
      <c r="S6" s="306"/>
      <c r="T6" s="306"/>
      <c r="U6" s="356" t="s">
        <v>255</v>
      </c>
      <c r="V6" s="358"/>
      <c r="W6" s="359" t="s">
        <v>338</v>
      </c>
      <c r="X6" s="360"/>
      <c r="Y6" s="361"/>
      <c r="Z6" s="236"/>
    </row>
    <row r="7" ht="13.5" customHeight="1" spans="4:26" x14ac:dyDescent="0.25">
      <c r="D7" s="362" t="s">
        <v>339</v>
      </c>
      <c r="E7" s="363"/>
      <c r="F7" s="363"/>
      <c r="G7" s="363"/>
      <c r="H7" s="363"/>
      <c r="I7" s="363"/>
      <c r="J7" s="364"/>
      <c r="K7" s="306"/>
      <c r="L7" s="306"/>
      <c r="M7" s="306"/>
      <c r="N7" s="365" t="s">
        <v>340</v>
      </c>
      <c r="O7" s="366"/>
      <c r="P7" s="366"/>
      <c r="Q7" s="367"/>
      <c r="R7" s="306"/>
      <c r="S7" s="306"/>
      <c r="T7" s="306"/>
      <c r="U7" s="368"/>
      <c r="V7" s="369"/>
      <c r="W7" s="370"/>
      <c r="X7" s="371"/>
      <c r="Y7" s="369"/>
      <c r="Z7" s="5"/>
    </row>
    <row r="8" spans="4:26" s="236" customFormat="1" x14ac:dyDescent="0.25">
      <c r="D8" s="374" t="s">
        <v>211</v>
      </c>
      <c r="E8" s="375"/>
      <c r="F8" s="375"/>
      <c r="G8" s="375"/>
      <c r="H8" s="375"/>
      <c r="I8" s="374" t="s">
        <v>341</v>
      </c>
      <c r="J8" s="376"/>
      <c r="K8" s="306"/>
      <c r="L8" s="306"/>
      <c r="M8" s="306"/>
      <c r="N8" s="372" t="s">
        <v>342</v>
      </c>
      <c r="O8" s="373"/>
      <c r="P8" s="354"/>
      <c r="Q8" s="355"/>
      <c r="R8" s="306"/>
      <c r="S8" s="306"/>
      <c r="T8" s="306"/>
      <c r="U8" s="356" t="s">
        <v>258</v>
      </c>
      <c r="V8" s="358"/>
      <c r="W8" s="359" t="s">
        <v>343</v>
      </c>
      <c r="X8" s="360"/>
      <c r="Y8" s="361"/>
      <c r="Z8" s="236"/>
    </row>
    <row r="9" ht="13.5" customHeight="1" spans="4:26" x14ac:dyDescent="0.25">
      <c r="D9" s="365" t="s">
        <v>344</v>
      </c>
      <c r="E9" s="366"/>
      <c r="F9" s="366"/>
      <c r="G9" s="366"/>
      <c r="H9" s="366"/>
      <c r="I9" s="377">
        <v>1.17</v>
      </c>
      <c r="J9" s="378">
        <v>1.37</v>
      </c>
      <c r="K9" s="306"/>
      <c r="L9" s="306"/>
      <c r="M9" s="306"/>
      <c r="N9" s="365" t="s">
        <v>345</v>
      </c>
      <c r="O9" s="366"/>
      <c r="P9" s="366"/>
      <c r="Q9" s="367"/>
      <c r="R9" s="306"/>
      <c r="S9" s="306"/>
      <c r="T9" s="306"/>
      <c r="U9" s="368"/>
      <c r="V9" s="369"/>
      <c r="W9" s="370"/>
      <c r="X9" s="371"/>
      <c r="Y9" s="369"/>
      <c r="Z9" s="5"/>
    </row>
    <row r="10" spans="4:26" x14ac:dyDescent="0.25">
      <c r="D10" s="379" t="s">
        <v>346</v>
      </c>
      <c r="E10" s="307"/>
      <c r="F10" s="307"/>
      <c r="G10" s="307"/>
      <c r="H10" s="307"/>
      <c r="I10" s="307"/>
      <c r="J10" s="380"/>
      <c r="K10" s="306"/>
      <c r="L10" s="306"/>
      <c r="M10" s="306"/>
      <c r="N10" s="374" t="s">
        <v>347</v>
      </c>
      <c r="O10" s="376"/>
      <c r="P10" s="374" t="s">
        <v>348</v>
      </c>
      <c r="Q10" s="376"/>
      <c r="R10" s="306"/>
      <c r="S10" s="306"/>
      <c r="T10" s="306"/>
      <c r="U10" s="374" t="s">
        <v>349</v>
      </c>
      <c r="V10" s="376"/>
      <c r="W10" s="374" t="s">
        <v>210</v>
      </c>
      <c r="X10" s="375"/>
      <c r="Y10" s="376"/>
      <c r="Z10" s="236"/>
    </row>
    <row r="11" ht="13.5" customHeight="1" spans="4:26" x14ac:dyDescent="0.25">
      <c r="D11" s="362" t="s">
        <v>350</v>
      </c>
      <c r="E11" s="363"/>
      <c r="F11" s="363"/>
      <c r="G11" s="363"/>
      <c r="H11" s="363"/>
      <c r="I11" s="363"/>
      <c r="J11" s="364"/>
      <c r="K11" s="306"/>
      <c r="L11" s="306"/>
      <c r="M11" s="306"/>
      <c r="N11" s="381">
        <f>COUNT(C15:C17)</f>
        <v>3</v>
      </c>
      <c r="O11" s="382"/>
      <c r="P11" s="377">
        <v>10</v>
      </c>
      <c r="Q11" s="378"/>
      <c r="R11" s="383"/>
      <c r="S11" s="383"/>
      <c r="T11" s="383"/>
      <c r="U11" s="377">
        <v>3</v>
      </c>
      <c r="V11" s="378"/>
      <c r="W11" s="384">
        <v>38765</v>
      </c>
      <c r="X11" s="385"/>
      <c r="Y11" s="386"/>
      <c r="Z11" s="5"/>
    </row>
    <row r="12" spans="1:26" x14ac:dyDescent="0.25">
      <c r="A12" s="5"/>
      <c r="B12" s="5"/>
      <c r="C12" s="5"/>
      <c r="D12" s="387">
        <f>IF(I9&gt;J9,"ENTER LOWER SPECIFICATION IN D11 AND UPPER IN E11","")</f>
      </c>
      <c r="E12" s="5"/>
      <c r="F12" s="5"/>
      <c r="G12" s="10"/>
      <c r="H12" s="5"/>
      <c r="I12" s="10"/>
      <c r="J12" s="5"/>
      <c r="K12" s="10"/>
      <c r="L12" s="5"/>
      <c r="M12" s="5"/>
      <c r="N12" s="5"/>
      <c r="O12" s="5"/>
      <c r="P12" s="5"/>
      <c r="Q12" s="5"/>
      <c r="R12" s="5"/>
      <c r="S12" s="10"/>
      <c r="T12" s="5"/>
      <c r="U12" s="10"/>
      <c r="V12" s="5"/>
      <c r="W12" s="10"/>
      <c r="X12" s="5"/>
      <c r="Y12" s="5"/>
      <c r="Z12" s="5"/>
    </row>
    <row r="13" ht="15.75" customHeight="1" spans="1:25" x14ac:dyDescent="0.25">
      <c r="A13" s="388" t="s">
        <v>351</v>
      </c>
      <c r="B13" s="389"/>
      <c r="C13" s="390" t="s">
        <v>263</v>
      </c>
      <c r="D13" s="391"/>
      <c r="E13" s="391"/>
      <c r="F13" s="391"/>
      <c r="G13" s="391"/>
      <c r="H13" s="391"/>
      <c r="I13" s="391"/>
      <c r="J13" s="391"/>
      <c r="K13" s="391"/>
      <c r="L13" s="392"/>
      <c r="M13" s="393" t="s">
        <v>352</v>
      </c>
      <c r="N13" s="394"/>
      <c r="O13" s="395"/>
      <c r="P13" s="396"/>
      <c r="Q13" s="396"/>
      <c r="R13" s="397" t="s">
        <v>226</v>
      </c>
      <c r="S13" s="396"/>
      <c r="T13" s="396"/>
      <c r="U13" s="398"/>
      <c r="V13" s="399" t="s">
        <v>353</v>
      </c>
      <c r="W13" s="400"/>
      <c r="X13" s="401"/>
      <c r="Y13" s="402"/>
    </row>
    <row r="14" ht="15.75" customHeight="1" spans="1:25" x14ac:dyDescent="0.25">
      <c r="A14" s="403" t="s">
        <v>354</v>
      </c>
      <c r="B14" s="404"/>
      <c r="C14" s="405">
        <v>1</v>
      </c>
      <c r="D14" s="405">
        <v>2</v>
      </c>
      <c r="E14" s="405">
        <v>3</v>
      </c>
      <c r="F14" s="405">
        <v>4</v>
      </c>
      <c r="G14" s="405">
        <v>5</v>
      </c>
      <c r="H14" s="405">
        <v>6</v>
      </c>
      <c r="I14" s="405">
        <v>7</v>
      </c>
      <c r="J14" s="405">
        <v>8</v>
      </c>
      <c r="K14" s="405">
        <v>9</v>
      </c>
      <c r="L14" s="405">
        <v>10</v>
      </c>
      <c r="M14" s="406"/>
      <c r="N14" s="404"/>
      <c r="O14" s="266" t="s">
        <v>355</v>
      </c>
      <c r="P14" s="267"/>
      <c r="Q14" s="267"/>
      <c r="R14" s="267"/>
      <c r="S14" s="267"/>
      <c r="T14" s="267"/>
      <c r="U14" s="268"/>
      <c r="V14" s="285"/>
      <c r="W14" s="267"/>
      <c r="X14" s="267"/>
      <c r="Y14" s="268"/>
    </row>
    <row r="15" ht="18" customHeight="1" spans="1:25" x14ac:dyDescent="0.25">
      <c r="A15" s="407" t="s">
        <v>356</v>
      </c>
      <c r="B15" s="408">
        <v>1</v>
      </c>
      <c r="C15" s="409">
        <v>1.27</v>
      </c>
      <c r="D15" s="409">
        <v>1.26</v>
      </c>
      <c r="E15" s="409">
        <v>1.27</v>
      </c>
      <c r="F15" s="409">
        <v>1.27</v>
      </c>
      <c r="G15" s="409">
        <v>1.26</v>
      </c>
      <c r="H15" s="409">
        <v>1.27</v>
      </c>
      <c r="I15" s="409">
        <v>1.26</v>
      </c>
      <c r="J15" s="409">
        <v>1.27</v>
      </c>
      <c r="K15" s="409">
        <v>1.26</v>
      </c>
      <c r="L15" s="409">
        <v>1.27</v>
      </c>
      <c r="M15" s="410"/>
      <c r="N15" s="411">
        <f t="shared" ref="N15:N29" si="0">IF(C15&lt;&gt;"",AVERAGE(C15:L15),"")</f>
        <v>1.2659999999999998</v>
      </c>
      <c r="O15" s="269" t="s">
        <v>357</v>
      </c>
      <c r="P15" s="10" t="s">
        <v>230</v>
      </c>
      <c r="Q15" s="412" t="s">
        <v>358</v>
      </c>
      <c r="T15" s="413" t="s">
        <v>347</v>
      </c>
      <c r="U15" s="414" t="s">
        <v>359</v>
      </c>
      <c r="V15" s="269" t="s">
        <v>360</v>
      </c>
      <c r="W15" s="10" t="s">
        <v>230</v>
      </c>
      <c r="X15" t="s">
        <v>361</v>
      </c>
      <c r="Y15" s="271"/>
    </row>
    <row r="16" ht="18" customHeight="1" spans="1:25" x14ac:dyDescent="0.25">
      <c r="A16" s="415">
        <v>2</v>
      </c>
      <c r="B16" s="416">
        <v>2</v>
      </c>
      <c r="C16" s="417">
        <v>1.28</v>
      </c>
      <c r="D16" s="417">
        <v>1.26</v>
      </c>
      <c r="E16" s="417">
        <v>1.27</v>
      </c>
      <c r="F16" s="417">
        <v>1.27</v>
      </c>
      <c r="G16" s="417">
        <v>1.26</v>
      </c>
      <c r="H16" s="417">
        <v>1.27</v>
      </c>
      <c r="I16" s="417">
        <v>1.26</v>
      </c>
      <c r="J16" s="417">
        <v>1.26</v>
      </c>
      <c r="K16" s="417">
        <v>1.26</v>
      </c>
      <c r="L16" s="417">
        <v>1.27</v>
      </c>
      <c r="M16" s="277"/>
      <c r="N16" s="418">
        <f t="shared" si="0"/>
        <v>1.2659999999999998</v>
      </c>
      <c r="O16" s="272"/>
      <c r="P16" s="10" t="s">
        <v>230</v>
      </c>
      <c r="Q16" t="str">
        <f>IF(C15&lt;&gt;"",CONCATENATE(TEXT($N$32,"0.000")," x ",CHOOSE($N$11,0,U16,U17)),"")</f>
        <v>0.010 x 3.05</v>
      </c>
      <c r="T16" s="419">
        <v>2</v>
      </c>
      <c r="U16" s="420">
        <v>4.56</v>
      </c>
      <c r="V16" s="269"/>
      <c r="W16" s="10" t="s">
        <v>230</v>
      </c>
      <c r="X16" s="5" t="str">
        <f>IF(C15&lt;&gt;"",CONCATENATE("100(",TEXT($Q$17,"0.000"),"/",TEXT($Q$34,"0.000"),")"),"")</f>
        <v>100(0.032/0.200)</v>
      </c>
      <c r="Y16" s="271"/>
    </row>
    <row r="17" ht="18" customHeight="1" spans="1:25" x14ac:dyDescent="0.25">
      <c r="A17" s="421">
        <f>A16+1</f>
        <v>3</v>
      </c>
      <c r="B17" s="422">
        <v>3</v>
      </c>
      <c r="C17" s="417">
        <v>1.27</v>
      </c>
      <c r="D17" s="417">
        <v>1.27</v>
      </c>
      <c r="E17" s="417">
        <v>1.26</v>
      </c>
      <c r="F17" s="417">
        <v>1.26</v>
      </c>
      <c r="G17" s="417">
        <v>1.26</v>
      </c>
      <c r="H17" s="417">
        <v>1.26</v>
      </c>
      <c r="I17" s="417">
        <v>1.26</v>
      </c>
      <c r="J17" s="417">
        <v>1.27</v>
      </c>
      <c r="K17" s="417">
        <v>1.25</v>
      </c>
      <c r="L17" s="417">
        <v>1.27</v>
      </c>
      <c r="M17" s="277"/>
      <c r="N17" s="418">
        <f t="shared" si="0"/>
        <v>1.263</v>
      </c>
      <c r="O17" s="274"/>
      <c r="P17" s="275" t="s">
        <v>230</v>
      </c>
      <c r="Q17" s="276">
        <f>IF(C15&lt;&gt;"",$N$32*(CHOOSE($N$11,0,U16,U17)),"")</f>
        <v>0.03185555555555557</v>
      </c>
      <c r="R17" s="277"/>
      <c r="S17" s="277"/>
      <c r="T17" s="423">
        <v>3</v>
      </c>
      <c r="U17" s="324">
        <v>3.05</v>
      </c>
      <c r="V17" s="274"/>
      <c r="W17" s="275" t="s">
        <v>230</v>
      </c>
      <c r="X17" s="424">
        <f>IF(C15&lt;&gt;"",100*($Q$17/$Q$34),"")</f>
        <v>15.927777777777768</v>
      </c>
      <c r="Y17" s="278"/>
    </row>
    <row r="18" ht="18" customHeight="1" spans="1:25" x14ac:dyDescent="0.25">
      <c r="A18" s="421">
        <f>A17+1</f>
        <v>4</v>
      </c>
      <c r="B18" s="422" t="s">
        <v>362</v>
      </c>
      <c r="C18" s="425">
        <f>IF(C15&lt;&gt;"",SUM(C15:C17)/COUNT(C15:C17),"")</f>
        <v>1.2733333333333332</v>
      </c>
      <c r="D18" s="425">
        <f t="shared" ref="D18:L18" si="1">IF(D15&lt;&gt;"",SUM(D15:D17)/COUNT(D15:D17),"")</f>
        <v>1.2633333333333334</v>
      </c>
      <c r="E18" s="425">
        <f t="shared" si="1"/>
        <v>1.2666666666666666</v>
      </c>
      <c r="F18" s="425">
        <f t="shared" si="1"/>
        <v>1.2666666666666666</v>
      </c>
      <c r="G18" s="425">
        <f t="shared" si="1"/>
        <v>1.26</v>
      </c>
      <c r="H18" s="425">
        <f t="shared" si="1"/>
        <v>1.2666666666666666</v>
      </c>
      <c r="I18" s="425">
        <f t="shared" si="1"/>
        <v>1.26</v>
      </c>
      <c r="J18" s="425">
        <f t="shared" si="1"/>
        <v>1.2666666666666668</v>
      </c>
      <c r="K18" s="425">
        <f t="shared" si="1"/>
        <v>1.2566666666666666</v>
      </c>
      <c r="L18" s="425">
        <f t="shared" si="1"/>
        <v>1.27</v>
      </c>
      <c r="M18" s="426" t="s">
        <v>363</v>
      </c>
      <c r="N18" s="418">
        <f t="shared" si="0"/>
        <v>1.2650000000000001</v>
      </c>
      <c r="O18" s="266" t="s">
        <v>364</v>
      </c>
      <c r="P18" s="267"/>
      <c r="Q18" s="267"/>
      <c r="R18" s="267"/>
      <c r="S18" s="267"/>
      <c r="T18" s="267"/>
      <c r="U18" s="268"/>
      <c r="V18" s="285"/>
      <c r="W18" s="267"/>
      <c r="X18" s="5"/>
      <c r="Y18" s="268"/>
    </row>
    <row r="19" ht="18" customHeight="1" spans="1:25" x14ac:dyDescent="0.25">
      <c r="A19" s="427">
        <f>A18+1</f>
        <v>5</v>
      </c>
      <c r="B19" s="428" t="s">
        <v>231</v>
      </c>
      <c r="C19" s="429">
        <f>IF(C15&lt;&gt;"",MAX(C15:C17)-MIN(C15:C17),"")</f>
        <v>0.010000000000000009</v>
      </c>
      <c r="D19" s="429">
        <f t="shared" ref="D19:L19" si="2">IF(D15&lt;&gt;"",MAX(D15:D17)-MIN(D15:D17),"")</f>
        <v>0.010000000000000009</v>
      </c>
      <c r="E19" s="429">
        <f t="shared" si="2"/>
        <v>0.010000000000000009</v>
      </c>
      <c r="F19" s="429">
        <f t="shared" si="2"/>
        <v>0.010000000000000009</v>
      </c>
      <c r="G19" s="429">
        <f t="shared" si="2"/>
        <v>0</v>
      </c>
      <c r="H19" s="429">
        <f t="shared" si="2"/>
        <v>0.010000000000000009</v>
      </c>
      <c r="I19" s="429">
        <f t="shared" si="2"/>
        <v>0</v>
      </c>
      <c r="J19" s="429">
        <f t="shared" si="2"/>
        <v>0.010000000000000009</v>
      </c>
      <c r="K19" s="429">
        <f t="shared" si="2"/>
        <v>0.010000000000000009</v>
      </c>
      <c r="L19" s="429">
        <f t="shared" si="2"/>
        <v>0</v>
      </c>
      <c r="M19" s="430" t="s">
        <v>365</v>
      </c>
      <c r="N19" s="418">
        <f t="shared" si="0"/>
        <v>0.007000000000000006</v>
      </c>
      <c r="O19" s="269" t="s">
        <v>366</v>
      </c>
      <c r="P19" s="10" t="s">
        <v>230</v>
      </c>
      <c r="Q19" s="5" t="s">
        <v>367</v>
      </c>
      <c r="R19" s="5"/>
      <c r="S19" s="5"/>
      <c r="T19" s="5"/>
      <c r="U19" s="271"/>
      <c r="V19" s="269" t="s">
        <v>368</v>
      </c>
      <c r="W19" s="10" t="s">
        <v>230</v>
      </c>
      <c r="X19" s="5" t="s">
        <v>369</v>
      </c>
      <c r="Y19" s="271"/>
    </row>
    <row r="20" ht="18" customHeight="1" spans="1:25" x14ac:dyDescent="0.25">
      <c r="A20" s="407" t="s">
        <v>370</v>
      </c>
      <c r="B20" s="408">
        <v>1</v>
      </c>
      <c r="C20" s="409">
        <v>1.26</v>
      </c>
      <c r="D20" s="409">
        <v>1.25</v>
      </c>
      <c r="E20" s="409">
        <v>1.26</v>
      </c>
      <c r="F20" s="431">
        <v>1.27</v>
      </c>
      <c r="G20" s="431">
        <v>1.27</v>
      </c>
      <c r="H20" s="409">
        <v>1.27</v>
      </c>
      <c r="I20" s="431">
        <v>1.25</v>
      </c>
      <c r="J20" s="409">
        <v>1.27</v>
      </c>
      <c r="K20" s="409">
        <v>1.27</v>
      </c>
      <c r="L20" s="409">
        <v>1.27</v>
      </c>
      <c r="M20" s="410"/>
      <c r="N20" s="411">
        <f t="shared" si="0"/>
        <v>1.2639999999999998</v>
      </c>
      <c r="O20" s="272"/>
      <c r="P20" s="10" t="s">
        <v>230</v>
      </c>
      <c r="Q20" s="5" t="str">
        <f>IF(C15&lt;&gt;"",CONCATENATE("{(",TEXT($N$33,"0.000")," x ",CHOOSE($U$11,0,T22,U22),")^2 - (",TEXT($Q$17,"0.000")," ^2/(",$P$11," x ",$N$11,"))}^1/2"),"")</f>
        <v>{(0.002 x 2.7)^2 - (0.032 ^2/(10 x 3))}^1/2</v>
      </c>
      <c r="R20" s="5"/>
      <c r="S20" s="5"/>
      <c r="T20" s="5"/>
      <c r="U20" s="271"/>
      <c r="V20" s="269"/>
      <c r="W20" s="10" t="s">
        <v>230</v>
      </c>
      <c r="X20" t="str">
        <f>IF(C15&lt;&gt;"",CONCATENATE("100(",TEXT($Q$21,"0.000"),"/",TEXT($Q$34,"0.000"),")"),"")</f>
        <v>100(0.000/0.200)</v>
      </c>
      <c r="Y20" s="271"/>
    </row>
    <row r="21" ht="18" customHeight="1" spans="1:25" x14ac:dyDescent="0.25">
      <c r="A21" s="421">
        <v>7</v>
      </c>
      <c r="B21" s="416">
        <v>2</v>
      </c>
      <c r="C21" s="417">
        <v>1.27</v>
      </c>
      <c r="D21" s="417">
        <v>1.26</v>
      </c>
      <c r="E21" s="417">
        <v>1.25</v>
      </c>
      <c r="F21" s="432">
        <v>1.26</v>
      </c>
      <c r="G21" s="432">
        <v>1.29</v>
      </c>
      <c r="H21" s="417">
        <v>1.27</v>
      </c>
      <c r="I21" s="432">
        <v>1.27</v>
      </c>
      <c r="J21" s="417">
        <v>1.26</v>
      </c>
      <c r="K21" s="417">
        <v>1.26</v>
      </c>
      <c r="L21" s="417">
        <v>1.26</v>
      </c>
      <c r="M21" s="277"/>
      <c r="N21" s="418">
        <f t="shared" si="0"/>
        <v>1.265</v>
      </c>
      <c r="O21" s="272"/>
      <c r="P21" s="10" t="s">
        <v>230</v>
      </c>
      <c r="Q21" s="279">
        <f>IF(C15="","",IF(($N$33*CHOOSE($U$11,0,T22,U22))^2-$Q$17^2/($P$11*$N$11)&lt;0,0,(($N$33*CHOOSE($U$11,0,T22,U22))^2-$Q$17^2/($P$11*$N$11))^(1/2)))</f>
        <v>0</v>
      </c>
      <c r="R21" s="5"/>
      <c r="S21" s="433" t="s">
        <v>349</v>
      </c>
      <c r="T21" s="413">
        <v>2</v>
      </c>
      <c r="U21" s="413">
        <v>3</v>
      </c>
      <c r="V21" s="269"/>
      <c r="W21" s="10" t="s">
        <v>371</v>
      </c>
      <c r="X21" s="424">
        <f>IF(C15&lt;&gt;"",100*($Q$21/$Q$34),"")</f>
        <v>0</v>
      </c>
      <c r="Y21" s="271"/>
    </row>
    <row r="22" ht="18" customHeight="1" spans="1:25" x14ac:dyDescent="0.25">
      <c r="A22" s="421">
        <f>A21+1</f>
        <v>8</v>
      </c>
      <c r="B22" s="422">
        <v>3</v>
      </c>
      <c r="C22" s="417">
        <v>1.27</v>
      </c>
      <c r="D22" s="417">
        <v>1.26</v>
      </c>
      <c r="E22" s="417">
        <v>1.26</v>
      </c>
      <c r="F22" s="432">
        <v>1.27</v>
      </c>
      <c r="G22" s="432">
        <v>1.28</v>
      </c>
      <c r="H22" s="417">
        <v>1.26</v>
      </c>
      <c r="I22" s="432">
        <v>1.27</v>
      </c>
      <c r="J22" s="417">
        <v>1.27</v>
      </c>
      <c r="K22" s="417">
        <v>1.27</v>
      </c>
      <c r="L22" s="417">
        <v>1.28</v>
      </c>
      <c r="M22" s="277"/>
      <c r="N22" s="418">
        <f t="shared" si="0"/>
        <v>1.269</v>
      </c>
      <c r="O22" s="274"/>
      <c r="P22" s="277"/>
      <c r="Q22" s="277"/>
      <c r="R22" s="277"/>
      <c r="S22" s="255" t="s">
        <v>372</v>
      </c>
      <c r="T22" s="255">
        <v>3.65</v>
      </c>
      <c r="U22" s="425">
        <v>2.7</v>
      </c>
      <c r="V22" s="272" t="s">
        <v>373</v>
      </c>
      <c r="W22" s="5"/>
      <c r="X22" s="5"/>
      <c r="Y22" s="271"/>
    </row>
    <row r="23" ht="18" customHeight="1" spans="1:25" x14ac:dyDescent="0.25">
      <c r="A23" s="421">
        <f>A22+1</f>
        <v>9</v>
      </c>
      <c r="B23" s="422" t="s">
        <v>362</v>
      </c>
      <c r="C23" s="425">
        <f t="shared" ref="C23:L23" si="3">IF(C20&lt;&gt;"",SUM(C20:C22)/COUNT(C20:C22),"")</f>
        <v>1.2666666666666668</v>
      </c>
      <c r="D23" s="425">
        <f t="shared" si="3"/>
        <v>1.2566666666666666</v>
      </c>
      <c r="E23" s="425">
        <f t="shared" si="3"/>
        <v>1.2566666666666666</v>
      </c>
      <c r="F23" s="425">
        <f t="shared" si="3"/>
        <v>1.2666666666666668</v>
      </c>
      <c r="G23" s="425">
        <f t="shared" si="3"/>
        <v>1.28</v>
      </c>
      <c r="H23" s="425">
        <f t="shared" si="3"/>
        <v>1.2666666666666666</v>
      </c>
      <c r="I23" s="425">
        <f t="shared" si="3"/>
        <v>1.2633333333333334</v>
      </c>
      <c r="J23" s="425">
        <f t="shared" si="3"/>
        <v>1.2666666666666668</v>
      </c>
      <c r="K23" s="425">
        <f t="shared" si="3"/>
        <v>1.2666666666666668</v>
      </c>
      <c r="L23" s="425">
        <f t="shared" si="3"/>
        <v>1.2700000000000002</v>
      </c>
      <c r="M23" s="426" t="s">
        <v>374</v>
      </c>
      <c r="N23" s="418">
        <f t="shared" si="0"/>
        <v>1.2660000000000002</v>
      </c>
      <c r="O23" s="266" t="s">
        <v>375</v>
      </c>
      <c r="P23" s="267"/>
      <c r="Q23" s="267"/>
      <c r="R23" s="267"/>
      <c r="S23" s="267"/>
      <c r="T23" s="267"/>
      <c r="U23" s="268"/>
      <c r="V23" s="274" t="s">
        <v>376</v>
      </c>
      <c r="W23" s="277"/>
      <c r="X23" s="277"/>
      <c r="Y23" s="278"/>
    </row>
    <row r="24" ht="18" customHeight="1" spans="1:25" x14ac:dyDescent="0.25">
      <c r="A24" s="427">
        <f>A23+1</f>
        <v>10</v>
      </c>
      <c r="B24" s="428" t="s">
        <v>231</v>
      </c>
      <c r="C24" s="429">
        <f t="shared" ref="C24:L24" si="4">IF(C20&lt;&gt;"",MAX(C20:C22)-MIN(C20:C22),"")</f>
        <v>0.010000000000000009</v>
      </c>
      <c r="D24" s="429">
        <f t="shared" si="4"/>
        <v>0.010000000000000009</v>
      </c>
      <c r="E24" s="429">
        <f t="shared" si="4"/>
        <v>0.010000000000000009</v>
      </c>
      <c r="F24" s="429">
        <f t="shared" si="4"/>
        <v>0.010000000000000009</v>
      </c>
      <c r="G24" s="429">
        <f t="shared" si="4"/>
        <v>0.020000000000000018</v>
      </c>
      <c r="H24" s="429">
        <f t="shared" si="4"/>
        <v>0.010000000000000009</v>
      </c>
      <c r="I24" s="429">
        <f t="shared" si="4"/>
        <v>0.020000000000000018</v>
      </c>
      <c r="J24" s="429">
        <f t="shared" si="4"/>
        <v>0.010000000000000009</v>
      </c>
      <c r="K24" s="429">
        <f t="shared" si="4"/>
        <v>0.010000000000000009</v>
      </c>
      <c r="L24" s="429">
        <f t="shared" si="4"/>
        <v>0.020000000000000018</v>
      </c>
      <c r="M24" s="430" t="s">
        <v>377</v>
      </c>
      <c r="N24" s="418">
        <f t="shared" si="0"/>
        <v>0.013000000000000012</v>
      </c>
      <c r="O24" s="269" t="s">
        <v>378</v>
      </c>
      <c r="P24" s="10" t="s">
        <v>230</v>
      </c>
      <c r="Q24" s="5" t="s">
        <v>379</v>
      </c>
      <c r="R24" s="5"/>
      <c r="S24" s="5"/>
      <c r="T24" s="413" t="s">
        <v>348</v>
      </c>
      <c r="U24" s="414" t="s">
        <v>380</v>
      </c>
      <c r="V24" s="285"/>
      <c r="W24" s="267"/>
      <c r="X24" s="267"/>
      <c r="Y24" s="268"/>
    </row>
    <row r="25" ht="18" customHeight="1" spans="1:25" x14ac:dyDescent="0.25">
      <c r="A25" s="407" t="s">
        <v>381</v>
      </c>
      <c r="B25" s="408">
        <v>1</v>
      </c>
      <c r="C25" s="409">
        <v>1.27</v>
      </c>
      <c r="D25" s="409">
        <v>1.27</v>
      </c>
      <c r="E25" s="409">
        <v>1.27</v>
      </c>
      <c r="F25" s="431">
        <v>1.27</v>
      </c>
      <c r="G25" s="409">
        <v>1.26</v>
      </c>
      <c r="H25" s="409">
        <v>1.27</v>
      </c>
      <c r="I25" s="409">
        <v>1.26</v>
      </c>
      <c r="J25" s="409">
        <v>1.27</v>
      </c>
      <c r="K25" s="434">
        <v>1.26</v>
      </c>
      <c r="L25" s="409">
        <v>1.27</v>
      </c>
      <c r="M25" s="410"/>
      <c r="N25" s="411">
        <f t="shared" si="0"/>
        <v>1.267</v>
      </c>
      <c r="O25" s="272"/>
      <c r="P25" s="10" t="s">
        <v>230</v>
      </c>
      <c r="Q25" s="435" t="str">
        <f>IF(C15&lt;&gt;"",CONCATENATE("{(",TEXT($Q$17,"0.000"),"^2 + ",TEXT($Q$21,"0.000"),"^2)}^1/2"),"")</f>
        <v>{(0.032^2 + 0.000^2)}^1/2</v>
      </c>
      <c r="R25" s="5"/>
      <c r="S25" s="5"/>
      <c r="T25" s="419">
        <v>2</v>
      </c>
      <c r="U25" s="436">
        <v>3.65</v>
      </c>
      <c r="V25" s="269" t="s">
        <v>382</v>
      </c>
      <c r="W25" s="10" t="s">
        <v>230</v>
      </c>
      <c r="X25" s="5" t="s">
        <v>383</v>
      </c>
      <c r="Y25" s="271"/>
    </row>
    <row r="26" ht="18" customHeight="1" spans="1:25" x14ac:dyDescent="0.25">
      <c r="A26" s="421">
        <v>12</v>
      </c>
      <c r="B26" s="416">
        <v>2</v>
      </c>
      <c r="C26" s="417">
        <v>1.28</v>
      </c>
      <c r="D26" s="417">
        <v>1.25</v>
      </c>
      <c r="E26" s="417">
        <v>1.26</v>
      </c>
      <c r="F26" s="432">
        <v>1.26</v>
      </c>
      <c r="G26" s="417">
        <v>1.26</v>
      </c>
      <c r="H26" s="417">
        <v>1.27</v>
      </c>
      <c r="I26" s="417">
        <v>1.26</v>
      </c>
      <c r="J26" s="417">
        <v>1.26</v>
      </c>
      <c r="K26" s="434">
        <f>IF(K22&lt;&gt;"",MAX(K22:K24)-MIN(K22:K24),"")</f>
        <v>1.26</v>
      </c>
      <c r="L26" s="417">
        <v>1.26</v>
      </c>
      <c r="M26" s="277"/>
      <c r="N26" s="418">
        <f t="shared" si="0"/>
        <v>1.262</v>
      </c>
      <c r="O26" s="274"/>
      <c r="P26" s="275" t="s">
        <v>230</v>
      </c>
      <c r="Q26" s="279">
        <f>IF(C15&lt;&gt;"",($Q$17^2+$Q$21^2)^(1/2),"")</f>
        <v>0.03185555555555557</v>
      </c>
      <c r="R26" s="277"/>
      <c r="S26" s="277"/>
      <c r="T26" s="419">
        <v>3</v>
      </c>
      <c r="U26" s="436">
        <v>2.7</v>
      </c>
      <c r="V26" s="269"/>
      <c r="W26" s="10" t="s">
        <v>230</v>
      </c>
      <c r="X26" t="str">
        <f>IF(C15&lt;&gt;"",CONCATENATE("100(",TEXT($Q$26,"0.000"),"/",TEXT($Q$34,"0.000"),")"),"")</f>
        <v>100(0.032/0.200)</v>
      </c>
      <c r="Y26" s="271"/>
    </row>
    <row r="27" ht="18" customHeight="1" spans="1:25" x14ac:dyDescent="0.25">
      <c r="A27" s="421">
        <f>A26+1</f>
        <v>13</v>
      </c>
      <c r="B27" s="422">
        <v>3</v>
      </c>
      <c r="C27" s="417">
        <v>1.27</v>
      </c>
      <c r="D27" s="417">
        <v>1.27</v>
      </c>
      <c r="E27" s="417">
        <v>1.27</v>
      </c>
      <c r="F27" s="432">
        <v>1.27</v>
      </c>
      <c r="G27" s="417">
        <v>1.27</v>
      </c>
      <c r="H27" s="417">
        <v>1.25</v>
      </c>
      <c r="I27" s="417">
        <v>1.26</v>
      </c>
      <c r="J27" s="417">
        <v>1.27</v>
      </c>
      <c r="K27" s="434">
        <f>IF(K23&lt;&gt;"",MAX(K23:K25)-MIN(K23:K25),"")</f>
        <v>1.2566666666666668</v>
      </c>
      <c r="L27" s="417">
        <v>1.28</v>
      </c>
      <c r="M27" s="277"/>
      <c r="N27" s="418">
        <f t="shared" si="0"/>
        <v>1.2666666666666666</v>
      </c>
      <c r="O27" s="266" t="s">
        <v>384</v>
      </c>
      <c r="P27" s="267"/>
      <c r="Q27" s="267"/>
      <c r="R27" s="267"/>
      <c r="S27" s="267"/>
      <c r="T27" s="419">
        <v>4</v>
      </c>
      <c r="U27" s="436">
        <v>2.3</v>
      </c>
      <c r="V27" s="269"/>
      <c r="W27" s="10" t="s">
        <v>230</v>
      </c>
      <c r="X27" s="437">
        <f>IF(C15&lt;&gt;"",100*($Q$26/$Q$34),"")</f>
        <v>15.927777777777768</v>
      </c>
      <c r="Y27" s="271"/>
    </row>
    <row r="28" ht="18" customHeight="1" spans="1:25" x14ac:dyDescent="0.25">
      <c r="A28" s="421">
        <f>A27+1</f>
        <v>14</v>
      </c>
      <c r="B28" s="422" t="s">
        <v>362</v>
      </c>
      <c r="C28" s="425">
        <f t="shared" ref="C28:L28" si="5">IF(C25&lt;&gt;"",SUM(C25:C27)/COUNT(C25:C27),"")</f>
        <v>1.2733333333333332</v>
      </c>
      <c r="D28" s="425">
        <f t="shared" si="5"/>
        <v>1.2633333333333334</v>
      </c>
      <c r="E28" s="425">
        <f t="shared" si="5"/>
        <v>1.2666666666666668</v>
      </c>
      <c r="F28" s="425">
        <f t="shared" si="5"/>
        <v>1.2666666666666668</v>
      </c>
      <c r="G28" s="425">
        <f t="shared" si="5"/>
        <v>1.2633333333333334</v>
      </c>
      <c r="H28" s="425">
        <f t="shared" si="5"/>
        <v>1.2633333333333334</v>
      </c>
      <c r="I28" s="425">
        <f t="shared" si="5"/>
        <v>1.26</v>
      </c>
      <c r="J28" s="425">
        <f t="shared" si="5"/>
        <v>1.2666666666666668</v>
      </c>
      <c r="K28" s="429">
        <f>IF(K24&lt;&gt;"",MAX(K24:K26)-MIN(K24:K26),"")</f>
        <v>1.25</v>
      </c>
      <c r="L28" s="425">
        <f t="shared" si="5"/>
        <v>1.2700000000000002</v>
      </c>
      <c r="M28" s="426" t="s">
        <v>385</v>
      </c>
      <c r="N28" s="418">
        <f t="shared" si="0"/>
        <v>1.2643333333333335</v>
      </c>
      <c r="O28" s="269" t="s">
        <v>386</v>
      </c>
      <c r="P28" s="10" t="s">
        <v>230</v>
      </c>
      <c r="Q28" s="5" t="s">
        <v>387</v>
      </c>
      <c r="R28" s="5"/>
      <c r="S28" s="5"/>
      <c r="T28" s="419">
        <v>5</v>
      </c>
      <c r="U28" s="331">
        <v>2.08</v>
      </c>
      <c r="V28" s="438" t="str">
        <f>IF(C16&lt;&gt;"",IF(X27&lt;10,"Gage System O.K.",IF(X27&lt;30,"Gage System may be acceptable","Gage System needs improvement")),"")</f>
        <v>Gage System may be acceptable</v>
      </c>
      <c r="W28" s="439"/>
      <c r="X28" s="439"/>
      <c r="Y28" s="440"/>
    </row>
    <row r="29" ht="18" customHeight="1" spans="1:25" x14ac:dyDescent="0.25">
      <c r="A29" s="427">
        <f>A28+1</f>
        <v>15</v>
      </c>
      <c r="B29" s="428" t="s">
        <v>231</v>
      </c>
      <c r="C29" s="429">
        <f t="shared" ref="C29:L29" si="6">IF(C25&lt;&gt;"",MAX(C25:C27)-MIN(C25:C27),"")</f>
        <v>0.010000000000000009</v>
      </c>
      <c r="D29" s="429">
        <f t="shared" si="6"/>
        <v>0.020000000000000018</v>
      </c>
      <c r="E29" s="429">
        <f t="shared" si="6"/>
        <v>0.010000000000000009</v>
      </c>
      <c r="F29" s="429">
        <f t="shared" si="6"/>
        <v>0.010000000000000009</v>
      </c>
      <c r="G29" s="429">
        <f t="shared" si="6"/>
        <v>0.010000000000000009</v>
      </c>
      <c r="H29" s="429">
        <f t="shared" si="6"/>
        <v>0.020000000000000018</v>
      </c>
      <c r="I29" s="429">
        <f t="shared" si="6"/>
        <v>0</v>
      </c>
      <c r="J29" s="429">
        <f t="shared" si="6"/>
        <v>0.010000000000000009</v>
      </c>
      <c r="K29" s="429">
        <f t="shared" si="6"/>
        <v>0.0033333333333331883</v>
      </c>
      <c r="L29" s="429">
        <f t="shared" si="6"/>
        <v>0.020000000000000018</v>
      </c>
      <c r="M29" s="430" t="s">
        <v>388</v>
      </c>
      <c r="N29" s="418">
        <f t="shared" si="0"/>
        <v>0.011333333333333329</v>
      </c>
      <c r="O29" s="269"/>
      <c r="P29" s="10" t="s">
        <v>230</v>
      </c>
      <c r="Q29" s="5" t="str">
        <f>IF(C15&lt;&gt;"",CONCATENATE(TEXT($N$31,"0.000")," x ",CHOOSE($P$11,0,U25,U26,U27,U28,U29,U30,U31,U32,U33)),"")</f>
        <v>0.013 x 1.62</v>
      </c>
      <c r="R29" s="5"/>
      <c r="S29" s="5"/>
      <c r="T29" s="419">
        <v>6</v>
      </c>
      <c r="U29" s="436">
        <v>1.93</v>
      </c>
      <c r="V29" s="272"/>
      <c r="W29" s="5"/>
      <c r="X29" s="5"/>
      <c r="Y29" s="271"/>
    </row>
    <row r="30" ht="18" customHeight="1" spans="1:25" x14ac:dyDescent="0.25">
      <c r="A30" s="441" t="s">
        <v>389</v>
      </c>
      <c r="B30" s="442"/>
      <c r="C30" s="443"/>
      <c r="D30" s="443"/>
      <c r="E30" s="443"/>
      <c r="F30" s="443"/>
      <c r="G30" s="443"/>
      <c r="H30" s="443"/>
      <c r="I30" s="443"/>
      <c r="J30" s="443"/>
      <c r="K30" s="443"/>
      <c r="L30" s="443"/>
      <c r="M30" s="444" t="s">
        <v>390</v>
      </c>
      <c r="N30" s="445">
        <f>IF(C15&lt;&gt;"",AVERAGE(C31:L31),"")</f>
        <v>1.265111111111111</v>
      </c>
      <c r="O30" s="446"/>
      <c r="P30" s="275" t="s">
        <v>230</v>
      </c>
      <c r="Q30" s="279">
        <f>IF(C15&lt;&gt;"",$N$31*CHOOSE($P$11,0,U25,U26,U27,U28,U29,U30,U31,U32,U33),"")</f>
        <v>0.02159999999999978</v>
      </c>
      <c r="R30" s="277"/>
      <c r="S30" s="277"/>
      <c r="T30" s="419">
        <v>7</v>
      </c>
      <c r="U30" s="436">
        <v>1.82</v>
      </c>
      <c r="V30" s="269" t="s">
        <v>391</v>
      </c>
      <c r="W30" s="10" t="s">
        <v>230</v>
      </c>
      <c r="X30" s="5" t="s">
        <v>392</v>
      </c>
      <c r="Y30" s="271"/>
    </row>
    <row r="31" ht="18" customHeight="1" spans="1:25" x14ac:dyDescent="0.25">
      <c r="A31" s="427" t="s">
        <v>393</v>
      </c>
      <c r="B31" s="447"/>
      <c r="C31" s="448">
        <f>IF(C18&lt;&gt;"",SUM(C18,C23,C28)/COUNT(C18,C23,C28),"")</f>
        <v>1.271111111111111</v>
      </c>
      <c r="D31" s="448">
        <f t="shared" ref="D31:L31" si="7">IF(D18&lt;&gt;"",SUM(D18,D23,D28)/COUNT(D18,D23,D28),"")</f>
        <v>1.261111111111111</v>
      </c>
      <c r="E31" s="448">
        <f t="shared" si="7"/>
        <v>1.2633333333333334</v>
      </c>
      <c r="F31" s="448">
        <f t="shared" si="7"/>
        <v>1.2666666666666666</v>
      </c>
      <c r="G31" s="448">
        <f t="shared" si="7"/>
        <v>1.267777777777778</v>
      </c>
      <c r="H31" s="448">
        <f t="shared" si="7"/>
        <v>1.2655555555555555</v>
      </c>
      <c r="I31" s="448">
        <f t="shared" si="7"/>
        <v>1.261111111111111</v>
      </c>
      <c r="J31" s="448">
        <f t="shared" si="7"/>
        <v>1.2666666666666668</v>
      </c>
      <c r="K31" s="448">
        <f t="shared" si="7"/>
        <v>1.2577777777777779</v>
      </c>
      <c r="L31" s="448">
        <f t="shared" si="7"/>
        <v>1.2700000000000002</v>
      </c>
      <c r="M31" s="449" t="s">
        <v>394</v>
      </c>
      <c r="N31" s="450">
        <f>IF(C15&lt;&gt;"",MAX(C31:L31)-MIN(C31:L31),"")</f>
        <v>0.013333333333333197</v>
      </c>
      <c r="O31" s="266" t="s">
        <v>395</v>
      </c>
      <c r="P31" s="267"/>
      <c r="Q31" s="267"/>
      <c r="R31" s="267"/>
      <c r="S31" s="267"/>
      <c r="T31" s="419">
        <v>8</v>
      </c>
      <c r="U31" s="436">
        <v>1.74</v>
      </c>
      <c r="V31" s="269"/>
      <c r="W31" s="10" t="s">
        <v>230</v>
      </c>
      <c r="X31" s="5" t="str">
        <f>IF(C15&lt;&gt;"",CONCATENATE("100(",TEXT($Q$30,"0.000"),"/",TEXT($Q$36,"0.000"),")"),"")</f>
        <v>100(0.022/0.000)</v>
      </c>
      <c r="Y31" s="271"/>
    </row>
    <row r="32" ht="18" customHeight="1" spans="1:25" x14ac:dyDescent="0.25">
      <c r="A32" s="451">
        <f>A29+2</f>
        <v>17</v>
      </c>
      <c r="B32" s="410" t="s">
        <v>396</v>
      </c>
      <c r="C32" s="410"/>
      <c r="D32" s="410"/>
      <c r="E32" s="410"/>
      <c r="F32" s="410"/>
      <c r="G32" s="410"/>
      <c r="H32" s="410"/>
      <c r="I32" s="410"/>
      <c r="J32" s="410"/>
      <c r="K32" s="410"/>
      <c r="L32" s="410"/>
      <c r="M32" s="452" t="s">
        <v>397</v>
      </c>
      <c r="N32" s="411">
        <f>IF(C15&lt;&gt;"",SUM(N19,N24,N29)/COUNT(C15,C20,C25),"")</f>
        <v>0.010444444444444449</v>
      </c>
      <c r="O32" s="269" t="s">
        <v>398</v>
      </c>
      <c r="P32" s="10" t="s">
        <v>230</v>
      </c>
      <c r="Q32" s="5" t="s">
        <v>399</v>
      </c>
      <c r="R32" s="5"/>
      <c r="S32" s="5"/>
      <c r="T32" s="419">
        <v>9</v>
      </c>
      <c r="U32" s="436">
        <v>1.67</v>
      </c>
      <c r="V32" s="269"/>
      <c r="W32" s="10" t="s">
        <v>230</v>
      </c>
      <c r="X32" s="424">
        <f>IF(C15&lt;&gt;"",100*($Q$30/$Q$34),"")</f>
        <v>10.79999999999988</v>
      </c>
      <c r="Y32" s="271"/>
    </row>
    <row r="33" ht="18" customHeight="1" spans="1:25" x14ac:dyDescent="0.25">
      <c r="A33" s="415">
        <f>A32+1</f>
        <v>18</v>
      </c>
      <c r="B33" s="453" t="s">
        <v>400</v>
      </c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4" t="s">
        <v>401</v>
      </c>
      <c r="N33" s="455">
        <f>IF(C15&lt;&gt;"",MAX(N18,N23,N28)-MIN(N18,N23,N28),"")</f>
        <v>0.0016666666666667052</v>
      </c>
      <c r="O33" s="269"/>
      <c r="P33" s="10" t="s">
        <v>230</v>
      </c>
      <c r="Q33" s="456" t="str">
        <f>CONCATENATE(J9," - ",I9)</f>
        <v>1.37 - 1.17</v>
      </c>
      <c r="R33" s="5"/>
      <c r="S33" s="5"/>
      <c r="T33" s="423">
        <v>10</v>
      </c>
      <c r="U33" s="457">
        <v>1.62</v>
      </c>
      <c r="V33" s="272"/>
      <c r="W33" s="5"/>
      <c r="X33" s="5"/>
      <c r="Y33" s="271"/>
    </row>
    <row r="34" ht="18" customHeight="1" spans="1:25" x14ac:dyDescent="0.25">
      <c r="A34" s="415">
        <f>A33+1</f>
        <v>19</v>
      </c>
      <c r="B34" s="458" t="s">
        <v>402</v>
      </c>
      <c r="C34" s="453"/>
      <c r="D34" s="453"/>
      <c r="E34" s="459">
        <f>IF(C15="","",IF(OR(G34&lt;&gt;"",H34&lt;&gt;"",I34&lt;&gt;""),"APPRAISER",""))</f>
      </c>
      <c r="F34" s="460"/>
      <c r="G34" s="461">
        <f>IF(C15="","",IF(OR(AND($C19&lt;&gt;"",$C19&gt;$N$34),AND($D19&lt;&gt;"",$D19&gt;$N$34),AND($E19&lt;&gt;"",$E19&gt;$N$34),AND($F19&lt;&gt;"",$F19&gt;$N$34),AND($G19&lt;&gt;"",$G19&gt;$N$34),AND($H19&lt;&gt;"",$H19&gt;$N$34),AND($I19&lt;&gt;"",$I19&gt;$N$34),AND($J19&lt;&gt;"",$J19&gt;$N$34),AND($K19&lt;&gt;"",$K19&gt;$N$34),AND($L19&lt;&gt;"",$L19&gt;$N$34)),"A",""))</f>
      </c>
      <c r="H34" s="461">
        <f>IF(C15="","",IF(OR(AND($C24&lt;&gt;"",$C24&gt;$N$34),AND($D24&lt;&gt;"",$D24&gt;$N$34),AND($E24&lt;&gt;"",$E24&gt;$N$34),AND($F24&lt;&gt;"",$F24&gt;$N$34),AND($G24&lt;&gt;"",$G24&gt;$N$34),AND($H24&lt;&gt;"",$H24&gt;$N$34),AND($I24&lt;&gt;"",$I24&gt;$N$34),AND($J24&lt;&gt;"",$J24&gt;$N$34),AND($K24&lt;&gt;"",$K24&gt;$N$34),AND($L24&lt;&gt;"",$L24&gt;$N$34)),"B",""))</f>
      </c>
      <c r="I34" s="461">
        <f>IF(C15="","",IF(OR(AND($C29&lt;&gt;"",$C29&gt;$N$34),AND($D29&lt;&gt;"",$D29&gt;$N$34),AND($E29&lt;&gt;"",$E29&gt;$N$34),AND($F29&lt;&gt;"",$F29&gt;$N$34),AND($G29&lt;&gt;"",$G29&gt;$N$34),AND($H29&lt;&gt;"",$H29&gt;$N$34),AND($I29&lt;&gt;"",$I29&gt;$N$34),AND($J29&lt;&gt;"",$J29&gt;$N$34),AND($K29&lt;&gt;"",$K29&gt;$N$34),AND($L29&lt;&gt;"",$L29&gt;$N$34)),"C",""))</f>
      </c>
      <c r="J34" s="460">
        <f>IF(C15="","",IF(OR(G34&lt;&gt;"",H34&lt;&gt;"",I34&lt;&gt;""),"OUT OF CONTROL",""))</f>
      </c>
      <c r="K34" s="453"/>
      <c r="L34" s="453"/>
      <c r="M34" s="462" t="s">
        <v>403</v>
      </c>
      <c r="N34" s="455">
        <f>IF(C15&lt;&gt;"",IF(N11=3,2.58*N32,3.27*N32),"")</f>
        <v>0.026946666666666678</v>
      </c>
      <c r="O34" s="446"/>
      <c r="P34" s="275" t="s">
        <v>230</v>
      </c>
      <c r="Q34" s="276">
        <f>IF(C15&lt;&gt;"",J9-I9,"")</f>
        <v>0.20000000000000018</v>
      </c>
      <c r="R34" s="277"/>
      <c r="S34" s="277"/>
      <c r="T34" s="277"/>
      <c r="U34" s="277"/>
      <c r="V34" s="274"/>
      <c r="W34" s="277"/>
      <c r="X34" s="277"/>
      <c r="Y34" s="278"/>
    </row>
    <row r="35" ht="18" customHeight="1" spans="1:21" x14ac:dyDescent="0.25">
      <c r="A35" s="463">
        <f>A34+1</f>
        <v>20</v>
      </c>
      <c r="B35" s="412" t="s">
        <v>404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464" t="s">
        <v>405</v>
      </c>
      <c r="N35" s="465">
        <f>IF(C15&lt;&gt;"",0,"")</f>
        <v>0</v>
      </c>
      <c r="O35" s="10"/>
      <c r="P35" s="10"/>
      <c r="Q35" s="279"/>
      <c r="R35" s="5"/>
      <c r="S35" s="5"/>
      <c r="T35" s="5"/>
      <c r="U35" s="5"/>
    </row>
    <row r="36" ht="18" customHeight="1" spans="1:25" x14ac:dyDescent="0.25">
      <c r="A36" s="336"/>
      <c r="B36" s="337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442"/>
      <c r="O36" s="466" t="s">
        <v>406</v>
      </c>
      <c r="P36" s="467"/>
      <c r="Q36" s="467"/>
      <c r="R36" s="467"/>
      <c r="S36" s="467"/>
      <c r="T36" s="467"/>
      <c r="U36" s="467"/>
      <c r="V36" s="467"/>
      <c r="W36" s="467"/>
      <c r="X36" s="467"/>
      <c r="Y36" s="468"/>
    </row>
    <row r="37" spans="1:25" x14ac:dyDescent="0.25">
      <c r="A37" s="469" t="s">
        <v>407</v>
      </c>
      <c r="B37" s="30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470"/>
      <c r="O37" s="471" t="s">
        <v>408</v>
      </c>
      <c r="P37" s="301"/>
      <c r="Q37" s="301"/>
      <c r="R37" s="301"/>
      <c r="S37" s="301"/>
      <c r="T37" s="301"/>
      <c r="U37" s="301"/>
      <c r="V37" s="301"/>
      <c r="W37" s="301"/>
      <c r="X37" s="301"/>
      <c r="Y37" s="472"/>
    </row>
    <row r="38" spans="1:25" x14ac:dyDescent="0.25">
      <c r="A38" s="469" t="s">
        <v>409</v>
      </c>
      <c r="B38" s="301"/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470"/>
      <c r="O38" s="5"/>
      <c r="P38" s="301" t="s">
        <v>410</v>
      </c>
      <c r="Q38" s="301"/>
      <c r="R38" s="301"/>
      <c r="S38" s="301"/>
      <c r="T38" s="301"/>
      <c r="U38" s="301"/>
      <c r="V38" s="301"/>
      <c r="W38" s="301"/>
      <c r="X38" s="301"/>
      <c r="Y38" s="472"/>
    </row>
    <row r="39" spans="1:25" x14ac:dyDescent="0.25">
      <c r="A39" s="469" t="s">
        <v>411</v>
      </c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470"/>
      <c r="O39" s="471" t="s">
        <v>412</v>
      </c>
      <c r="P39" s="301"/>
      <c r="Q39" s="301"/>
      <c r="R39" s="301"/>
      <c r="S39" s="301"/>
      <c r="T39" s="301"/>
      <c r="U39" s="301"/>
      <c r="V39" s="301"/>
      <c r="W39" s="301"/>
      <c r="X39" s="301"/>
      <c r="Y39" s="472"/>
    </row>
    <row r="40" spans="1:25" x14ac:dyDescent="0.25">
      <c r="A40" s="34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271"/>
      <c r="O40" s="471" t="s">
        <v>413</v>
      </c>
      <c r="P40" s="301"/>
      <c r="Q40" s="301"/>
      <c r="R40" s="301"/>
      <c r="S40" s="301"/>
      <c r="T40" s="301"/>
      <c r="U40" s="301"/>
      <c r="V40" s="301"/>
      <c r="W40" s="301"/>
      <c r="X40" s="301"/>
      <c r="Y40" s="472"/>
    </row>
    <row r="41" spans="1:25" x14ac:dyDescent="0.25">
      <c r="A41" s="473" t="s">
        <v>414</v>
      </c>
      <c r="B41" s="474"/>
      <c r="C41" s="474"/>
      <c r="D41" s="474"/>
      <c r="E41" s="474"/>
      <c r="F41" s="474"/>
      <c r="G41" s="474"/>
      <c r="H41" s="474"/>
      <c r="I41" s="474"/>
      <c r="J41" s="474"/>
      <c r="K41" s="474"/>
      <c r="L41" s="474"/>
      <c r="M41" s="474"/>
      <c r="N41" s="475"/>
      <c r="O41" s="471" t="s">
        <v>415</v>
      </c>
      <c r="P41" s="301"/>
      <c r="Q41" s="301"/>
      <c r="R41" s="301"/>
      <c r="S41" s="301"/>
      <c r="T41" s="301"/>
      <c r="U41" s="301"/>
      <c r="V41" s="301"/>
      <c r="W41" s="301"/>
      <c r="X41" s="301"/>
      <c r="Y41" s="472"/>
    </row>
    <row r="42" ht="13.5" customHeight="1" spans="1:25" x14ac:dyDescent="0.25">
      <c r="A42" s="346"/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447"/>
      <c r="O42" s="476" t="s">
        <v>416</v>
      </c>
      <c r="P42" s="477"/>
      <c r="Q42" s="477"/>
      <c r="R42" s="477"/>
      <c r="S42" s="477"/>
      <c r="T42" s="477"/>
      <c r="U42" s="477"/>
      <c r="V42" s="477"/>
      <c r="W42" s="477"/>
      <c r="X42" s="477"/>
      <c r="Y42" s="478"/>
    </row>
  </sheetData>
  <mergeCells count="45">
    <mergeCell ref="A1:N1"/>
    <mergeCell ref="O1:Y1"/>
    <mergeCell ref="A2:N2"/>
    <mergeCell ref="O2:Y2"/>
    <mergeCell ref="M3:N3"/>
    <mergeCell ref="N4:O4"/>
    <mergeCell ref="U4:V4"/>
    <mergeCell ref="W4:Y4"/>
    <mergeCell ref="D5:J5"/>
    <mergeCell ref="N5:Q5"/>
    <mergeCell ref="D6:E6"/>
    <mergeCell ref="N6:O6"/>
    <mergeCell ref="U6:V6"/>
    <mergeCell ref="W6:Y6"/>
    <mergeCell ref="D7:J7"/>
    <mergeCell ref="N7:Q7"/>
    <mergeCell ref="D8:H8"/>
    <mergeCell ref="I8:J8"/>
    <mergeCell ref="N8:O8"/>
    <mergeCell ref="U8:V8"/>
    <mergeCell ref="W8:Y8"/>
    <mergeCell ref="D9:H9"/>
    <mergeCell ref="N9:Q9"/>
    <mergeCell ref="D10:J10"/>
    <mergeCell ref="N10:O10"/>
    <mergeCell ref="P10:Q10"/>
    <mergeCell ref="U10:V10"/>
    <mergeCell ref="W10:Y10"/>
    <mergeCell ref="D11:J11"/>
    <mergeCell ref="N11:O11"/>
    <mergeCell ref="P11:Q11"/>
    <mergeCell ref="U11:V11"/>
    <mergeCell ref="W11:Y11"/>
    <mergeCell ref="V28:Y28"/>
    <mergeCell ref="O36:Y36"/>
    <mergeCell ref="A37:N37"/>
    <mergeCell ref="O37:Y37"/>
    <mergeCell ref="A38:N38"/>
    <mergeCell ref="P38:Y38"/>
    <mergeCell ref="A39:N39"/>
    <mergeCell ref="O39:Y39"/>
    <mergeCell ref="O40:Y40"/>
    <mergeCell ref="B41:N41"/>
    <mergeCell ref="O41:Y41"/>
    <mergeCell ref="O42:Y42"/>
  </mergeCells>
  <conditionalFormatting sqref="V28:Y28">
    <cfRule type="cellIs" dxfId="0" priority="1" operator="equal">
      <formula>"Gage System O.K."</formula>
    </cfRule>
    <cfRule type="cellIs" dxfId="1" priority="2" operator="equal">
      <formula>"Gage System may be acceptable"</formula>
    </cfRule>
    <cfRule type="cellIs" dxfId="2" priority="3" operator="equal">
      <formula>"Gage System needs improvement"</formula>
    </cfRule>
  </conditionalFormatting>
  <pageMargins left="0.75" right="0.75" top="1" bottom="1" header="0.5" footer="0.5"/>
  <pageSetup orientation="landscape" horizontalDpi="4294967295" verticalDpi="4294967295" scale="66" fitToWidth="1" fitToHeight="1" firstPageNumber="1" useFirstPageNumber="1" copies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workbookViewId="0" zoomScale="100" zoomScaleNormal="100"/>
  </sheetViews>
  <sheetFormatPr defaultRowHeight="12.75" outlineLevelRow="0" outlineLevelCol="0" x14ac:dyDescent="0" customHeight="1"/>
  <cols>
    <col min="1" max="1" width="5.85546875" customWidth="1"/>
    <col min="2" max="2" width="5.7109375" customWidth="1"/>
    <col min="3" max="3" width="15.7109375" customWidth="1"/>
    <col min="4" max="4" width="6.7109375" customWidth="1"/>
    <col min="5" max="5" width="11.7109375" customWidth="1"/>
    <col min="6" max="6" width="12.7109375" customWidth="1"/>
    <col min="7" max="8" width="5.7109375" customWidth="1"/>
    <col min="9" max="9" width="20.7109375" customWidth="1"/>
    <col min="10" max="11" width="4.28515625" customWidth="1"/>
  </cols>
  <sheetData>
    <row r="1" ht="20.25" customHeight="1" spans="1:8" x14ac:dyDescent="0.25">
      <c r="A1" s="688" t="s">
        <v>510</v>
      </c>
      <c r="B1" s="688"/>
      <c r="C1" s="10"/>
      <c r="D1" s="10"/>
      <c r="E1" s="10"/>
      <c r="F1" s="10"/>
      <c r="G1" s="10"/>
      <c r="H1" s="10"/>
    </row>
    <row r="2" ht="20.25" customHeight="1" spans="1:8" x14ac:dyDescent="0.25">
      <c r="A2" s="688" t="s">
        <v>511</v>
      </c>
      <c r="B2" s="688"/>
      <c r="C2" s="10"/>
      <c r="D2" s="10"/>
      <c r="E2" s="10"/>
      <c r="F2" s="10"/>
      <c r="G2" s="10"/>
      <c r="H2" s="10"/>
    </row>
    <row r="3" ht="15" customHeight="1" spans="6:8" x14ac:dyDescent="0.25">
      <c r="F3" s="17"/>
      <c r="G3" s="5"/>
      <c r="H3" s="664"/>
    </row>
    <row r="4" spans="1:11" x14ac:dyDescent="0.25">
      <c r="A4" s="689" t="s">
        <v>512</v>
      </c>
      <c r="B4" s="690"/>
      <c r="C4" s="691"/>
      <c r="D4" s="692"/>
      <c r="E4" s="693"/>
      <c r="F4" s="694" t="s">
        <v>513</v>
      </c>
      <c r="G4" s="695"/>
      <c r="H4" s="695"/>
      <c r="I4" s="696"/>
      <c r="J4" s="696"/>
      <c r="K4" s="697"/>
    </row>
    <row r="5" ht="13.5" customHeight="1" spans="1:11" x14ac:dyDescent="0.25">
      <c r="A5" s="698" t="s">
        <v>514</v>
      </c>
      <c r="B5" s="699"/>
      <c r="C5" s="700"/>
      <c r="D5" s="538"/>
      <c r="E5" s="701"/>
      <c r="F5" s="702" t="s">
        <v>515</v>
      </c>
      <c r="G5" s="703"/>
      <c r="H5" s="703"/>
      <c r="I5" s="704"/>
      <c r="J5" s="704"/>
      <c r="K5" s="705"/>
    </row>
    <row r="6" spans="1:11" x14ac:dyDescent="0.25">
      <c r="A6" s="706"/>
      <c r="B6" s="353"/>
      <c r="C6" s="353"/>
      <c r="D6" s="707"/>
      <c r="E6" s="708"/>
      <c r="F6" s="702" t="s">
        <v>516</v>
      </c>
      <c r="G6" s="703"/>
      <c r="H6" s="703"/>
      <c r="I6" s="704"/>
      <c r="J6" s="704"/>
      <c r="K6" s="705"/>
    </row>
    <row r="7" ht="13.5" customHeight="1" spans="1:11" x14ac:dyDescent="0.25">
      <c r="A7" s="709" t="s">
        <v>517</v>
      </c>
      <c r="B7" s="710"/>
      <c r="C7" s="656"/>
      <c r="D7" s="656"/>
      <c r="E7" s="711"/>
      <c r="F7" s="712" t="s">
        <v>518</v>
      </c>
      <c r="G7" s="713"/>
      <c r="H7" s="713"/>
      <c r="I7" s="714"/>
      <c r="J7" s="714"/>
      <c r="K7" s="715"/>
    </row>
    <row r="8" ht="21" customHeight="1" spans="1:11" x14ac:dyDescent="0.25">
      <c r="A8" s="716" t="s">
        <v>519</v>
      </c>
      <c r="B8" s="717" t="s">
        <v>520</v>
      </c>
      <c r="C8" s="718"/>
      <c r="D8" s="719" t="s">
        <v>521</v>
      </c>
      <c r="E8" s="719" t="s">
        <v>522</v>
      </c>
      <c r="F8" s="720"/>
      <c r="G8" s="719" t="s">
        <v>523</v>
      </c>
      <c r="H8" s="721" t="s">
        <v>524</v>
      </c>
      <c r="I8" s="722" t="s">
        <v>525</v>
      </c>
      <c r="J8" s="722" t="s">
        <v>523</v>
      </c>
      <c r="K8" s="723" t="s">
        <v>524</v>
      </c>
    </row>
    <row r="9" ht="13.5" customHeight="1" spans="1:11" x14ac:dyDescent="0.25">
      <c r="A9" s="724"/>
      <c r="B9" s="725"/>
      <c r="C9" s="726"/>
      <c r="D9" s="727"/>
      <c r="E9" s="728"/>
      <c r="F9" s="729"/>
      <c r="G9" s="730"/>
      <c r="H9" s="731"/>
      <c r="I9" s="732"/>
      <c r="J9" s="733"/>
      <c r="K9" s="734"/>
    </row>
    <row r="10" ht="15" customHeight="1" spans="1:11" x14ac:dyDescent="0.25">
      <c r="A10" s="735"/>
      <c r="B10" s="736"/>
      <c r="C10" s="737"/>
      <c r="D10" s="738"/>
      <c r="E10" s="739"/>
      <c r="F10" s="740"/>
      <c r="G10" s="738"/>
      <c r="H10" s="736"/>
      <c r="I10" s="741"/>
      <c r="J10" s="255"/>
      <c r="K10" s="742"/>
    </row>
    <row r="11" ht="15" customHeight="1" spans="1:11" x14ac:dyDescent="0.25">
      <c r="A11" s="735"/>
      <c r="B11" s="736"/>
      <c r="C11" s="737"/>
      <c r="D11" s="738"/>
      <c r="E11" s="739"/>
      <c r="F11" s="740"/>
      <c r="G11" s="738"/>
      <c r="H11" s="736"/>
      <c r="I11" s="741"/>
      <c r="J11" s="255"/>
      <c r="K11" s="742"/>
    </row>
    <row r="12" ht="15" customHeight="1" spans="1:11" x14ac:dyDescent="0.25">
      <c r="A12" s="735"/>
      <c r="B12" s="736"/>
      <c r="C12" s="737"/>
      <c r="D12" s="738"/>
      <c r="E12" s="739"/>
      <c r="F12" s="740"/>
      <c r="G12" s="738"/>
      <c r="H12" s="736"/>
      <c r="I12" s="741"/>
      <c r="J12" s="255"/>
      <c r="K12" s="742"/>
    </row>
    <row r="13" ht="15" customHeight="1" spans="1:11" x14ac:dyDescent="0.25">
      <c r="A13" s="735"/>
      <c r="B13" s="736"/>
      <c r="C13" s="737"/>
      <c r="D13" s="738"/>
      <c r="E13" s="739"/>
      <c r="F13" s="740"/>
      <c r="G13" s="738"/>
      <c r="H13" s="736"/>
      <c r="I13" s="741"/>
      <c r="J13" s="255"/>
      <c r="K13" s="742"/>
    </row>
    <row r="14" ht="15" customHeight="1" spans="1:11" x14ac:dyDescent="0.25">
      <c r="A14" s="735"/>
      <c r="B14" s="736"/>
      <c r="C14" s="737"/>
      <c r="D14" s="738"/>
      <c r="E14" s="739"/>
      <c r="F14" s="740"/>
      <c r="G14" s="738"/>
      <c r="H14" s="736"/>
      <c r="I14" s="741"/>
      <c r="J14" s="255"/>
      <c r="K14" s="742"/>
    </row>
    <row r="15" ht="15" customHeight="1" spans="1:11" x14ac:dyDescent="0.25">
      <c r="A15" s="735"/>
      <c r="B15" s="736"/>
      <c r="C15" s="737"/>
      <c r="D15" s="738"/>
      <c r="E15" s="739"/>
      <c r="F15" s="740"/>
      <c r="G15" s="738"/>
      <c r="H15" s="736"/>
      <c r="I15" s="741"/>
      <c r="J15" s="255"/>
      <c r="K15" s="742"/>
    </row>
    <row r="16" ht="15" customHeight="1" spans="1:11" x14ac:dyDescent="0.25">
      <c r="A16" s="735"/>
      <c r="B16" s="736"/>
      <c r="C16" s="737"/>
      <c r="D16" s="738"/>
      <c r="E16" s="739"/>
      <c r="F16" s="740"/>
      <c r="G16" s="738"/>
      <c r="H16" s="736"/>
      <c r="I16" s="741"/>
      <c r="J16" s="255"/>
      <c r="K16" s="742"/>
    </row>
    <row r="17" ht="15" customHeight="1" spans="1:11" x14ac:dyDescent="0.25">
      <c r="A17" s="735"/>
      <c r="B17" s="736"/>
      <c r="C17" s="737"/>
      <c r="D17" s="738"/>
      <c r="E17" s="739"/>
      <c r="F17" s="740"/>
      <c r="G17" s="738"/>
      <c r="H17" s="736"/>
      <c r="I17" s="741"/>
      <c r="J17" s="255"/>
      <c r="K17" s="742"/>
    </row>
    <row r="18" ht="15" customHeight="1" spans="1:11" x14ac:dyDescent="0.25">
      <c r="A18" s="735"/>
      <c r="B18" s="736"/>
      <c r="C18" s="737"/>
      <c r="D18" s="738"/>
      <c r="E18" s="739"/>
      <c r="F18" s="740"/>
      <c r="G18" s="738"/>
      <c r="H18" s="736"/>
      <c r="I18" s="741"/>
      <c r="J18" s="255"/>
      <c r="K18" s="742"/>
    </row>
    <row r="19" ht="15" customHeight="1" spans="1:11" x14ac:dyDescent="0.25">
      <c r="A19" s="735"/>
      <c r="B19" s="736"/>
      <c r="C19" s="737"/>
      <c r="D19" s="738"/>
      <c r="E19" s="739"/>
      <c r="F19" s="740"/>
      <c r="G19" s="738"/>
      <c r="H19" s="736"/>
      <c r="I19" s="741"/>
      <c r="J19" s="255"/>
      <c r="K19" s="742"/>
    </row>
    <row r="20" ht="15" customHeight="1" spans="1:11" x14ac:dyDescent="0.25">
      <c r="A20" s="735"/>
      <c r="B20" s="736"/>
      <c r="C20" s="737"/>
      <c r="D20" s="738"/>
      <c r="E20" s="739"/>
      <c r="F20" s="740"/>
      <c r="G20" s="738"/>
      <c r="H20" s="736"/>
      <c r="I20" s="741"/>
      <c r="J20" s="255"/>
      <c r="K20" s="742"/>
    </row>
    <row r="21" ht="15" customHeight="1" spans="1:11" x14ac:dyDescent="0.25">
      <c r="A21" s="735"/>
      <c r="B21" s="736"/>
      <c r="C21" s="737"/>
      <c r="D21" s="738"/>
      <c r="E21" s="739"/>
      <c r="F21" s="740"/>
      <c r="G21" s="738"/>
      <c r="H21" s="736"/>
      <c r="I21" s="741"/>
      <c r="J21" s="255"/>
      <c r="K21" s="742"/>
    </row>
    <row r="22" ht="15" customHeight="1" spans="1:11" x14ac:dyDescent="0.25">
      <c r="A22" s="735"/>
      <c r="B22" s="736"/>
      <c r="C22" s="737"/>
      <c r="D22" s="738"/>
      <c r="E22" s="739"/>
      <c r="F22" s="740"/>
      <c r="G22" s="738"/>
      <c r="H22" s="736"/>
      <c r="I22" s="741"/>
      <c r="J22" s="255"/>
      <c r="K22" s="742"/>
    </row>
    <row r="23" ht="15" customHeight="1" spans="1:11" x14ac:dyDescent="0.25">
      <c r="A23" s="735"/>
      <c r="B23" s="736"/>
      <c r="C23" s="737"/>
      <c r="D23" s="738"/>
      <c r="E23" s="739"/>
      <c r="F23" s="740"/>
      <c r="G23" s="738"/>
      <c r="H23" s="736"/>
      <c r="I23" s="741"/>
      <c r="J23" s="255"/>
      <c r="K23" s="742"/>
    </row>
    <row r="24" ht="15" customHeight="1" spans="1:11" x14ac:dyDescent="0.25">
      <c r="A24" s="735"/>
      <c r="B24" s="736"/>
      <c r="C24" s="737"/>
      <c r="D24" s="738"/>
      <c r="E24" s="739"/>
      <c r="F24" s="740"/>
      <c r="G24" s="738"/>
      <c r="H24" s="736"/>
      <c r="I24" s="741"/>
      <c r="J24" s="255"/>
      <c r="K24" s="742"/>
    </row>
    <row r="25" ht="15" customHeight="1" spans="1:11" x14ac:dyDescent="0.25">
      <c r="A25" s="735"/>
      <c r="B25" s="736"/>
      <c r="C25" s="737"/>
      <c r="D25" s="738"/>
      <c r="E25" s="739"/>
      <c r="F25" s="740"/>
      <c r="G25" s="738"/>
      <c r="H25" s="736"/>
      <c r="I25" s="741"/>
      <c r="J25" s="255"/>
      <c r="K25" s="742"/>
    </row>
    <row r="26" ht="15" customHeight="1" spans="1:11" x14ac:dyDescent="0.25">
      <c r="A26" s="735"/>
      <c r="B26" s="736"/>
      <c r="C26" s="737"/>
      <c r="D26" s="738"/>
      <c r="E26" s="739"/>
      <c r="F26" s="740"/>
      <c r="G26" s="738"/>
      <c r="H26" s="736"/>
      <c r="I26" s="741"/>
      <c r="J26" s="255"/>
      <c r="K26" s="742"/>
    </row>
    <row r="27" ht="15" customHeight="1" spans="1:11" x14ac:dyDescent="0.25">
      <c r="A27" s="735"/>
      <c r="B27" s="736"/>
      <c r="C27" s="737"/>
      <c r="D27" s="738"/>
      <c r="E27" s="739"/>
      <c r="F27" s="740"/>
      <c r="G27" s="738"/>
      <c r="H27" s="736"/>
      <c r="I27" s="741"/>
      <c r="J27" s="255"/>
      <c r="K27" s="742"/>
    </row>
    <row r="28" ht="15" customHeight="1" spans="1:11" x14ac:dyDescent="0.25">
      <c r="A28" s="735"/>
      <c r="B28" s="736"/>
      <c r="C28" s="737"/>
      <c r="D28" s="738"/>
      <c r="E28" s="739"/>
      <c r="F28" s="740"/>
      <c r="G28" s="738"/>
      <c r="H28" s="736"/>
      <c r="I28" s="741"/>
      <c r="J28" s="255"/>
      <c r="K28" s="742"/>
    </row>
    <row r="29" ht="15" customHeight="1" spans="1:11" x14ac:dyDescent="0.25">
      <c r="A29" s="735"/>
      <c r="B29" s="736"/>
      <c r="C29" s="737"/>
      <c r="D29" s="738"/>
      <c r="E29" s="739"/>
      <c r="F29" s="740"/>
      <c r="G29" s="738"/>
      <c r="H29" s="736"/>
      <c r="I29" s="741"/>
      <c r="J29" s="255"/>
      <c r="K29" s="742"/>
    </row>
    <row r="30" ht="15" customHeight="1" spans="1:11" x14ac:dyDescent="0.25">
      <c r="A30" s="735"/>
      <c r="B30" s="736"/>
      <c r="C30" s="737"/>
      <c r="D30" s="738"/>
      <c r="E30" s="739"/>
      <c r="F30" s="740"/>
      <c r="G30" s="738"/>
      <c r="H30" s="736"/>
      <c r="I30" s="741"/>
      <c r="J30" s="255"/>
      <c r="K30" s="742"/>
    </row>
    <row r="31" ht="15" customHeight="1" spans="1:11" x14ac:dyDescent="0.25">
      <c r="A31" s="735"/>
      <c r="B31" s="736"/>
      <c r="C31" s="737"/>
      <c r="D31" s="738"/>
      <c r="E31" s="739"/>
      <c r="F31" s="740"/>
      <c r="G31" s="738"/>
      <c r="H31" s="736"/>
      <c r="I31" s="741"/>
      <c r="J31" s="255"/>
      <c r="K31" s="742"/>
    </row>
    <row r="32" ht="15" customHeight="1" spans="1:11" x14ac:dyDescent="0.25">
      <c r="A32" s="735"/>
      <c r="B32" s="736"/>
      <c r="C32" s="737"/>
      <c r="D32" s="738"/>
      <c r="E32" s="739"/>
      <c r="F32" s="740"/>
      <c r="G32" s="738"/>
      <c r="H32" s="736"/>
      <c r="I32" s="741"/>
      <c r="J32" s="255"/>
      <c r="K32" s="742"/>
    </row>
    <row r="33" ht="15" customHeight="1" spans="1:11" x14ac:dyDescent="0.25">
      <c r="A33" s="735"/>
      <c r="B33" s="736"/>
      <c r="C33" s="737"/>
      <c r="D33" s="738"/>
      <c r="E33" s="739"/>
      <c r="F33" s="740"/>
      <c r="G33" s="738"/>
      <c r="H33" s="736"/>
      <c r="I33" s="741"/>
      <c r="J33" s="255"/>
      <c r="K33" s="742"/>
    </row>
    <row r="34" ht="15" customHeight="1" spans="1:11" x14ac:dyDescent="0.25">
      <c r="A34" s="735"/>
      <c r="B34" s="736"/>
      <c r="C34" s="737"/>
      <c r="D34" s="738"/>
      <c r="E34" s="739"/>
      <c r="F34" s="740"/>
      <c r="G34" s="738"/>
      <c r="H34" s="736"/>
      <c r="I34" s="741"/>
      <c r="J34" s="255"/>
      <c r="K34" s="742"/>
    </row>
    <row r="35" ht="15" customHeight="1" spans="1:11" x14ac:dyDescent="0.25">
      <c r="A35" s="735"/>
      <c r="B35" s="736"/>
      <c r="C35" s="737"/>
      <c r="D35" s="738"/>
      <c r="E35" s="739"/>
      <c r="F35" s="740"/>
      <c r="G35" s="738"/>
      <c r="H35" s="736"/>
      <c r="I35" s="741"/>
      <c r="J35" s="255"/>
      <c r="K35" s="742"/>
    </row>
    <row r="36" ht="15" customHeight="1" spans="1:11" x14ac:dyDescent="0.25">
      <c r="A36" s="735"/>
      <c r="B36" s="736"/>
      <c r="C36" s="737"/>
      <c r="D36" s="738"/>
      <c r="E36" s="739"/>
      <c r="F36" s="740"/>
      <c r="G36" s="738"/>
      <c r="H36" s="736"/>
      <c r="I36" s="741"/>
      <c r="J36" s="255"/>
      <c r="K36" s="742"/>
    </row>
    <row r="37" ht="15" customHeight="1" spans="1:11" x14ac:dyDescent="0.25">
      <c r="A37" s="735"/>
      <c r="B37" s="736"/>
      <c r="C37" s="737"/>
      <c r="D37" s="738"/>
      <c r="E37" s="739"/>
      <c r="F37" s="740"/>
      <c r="G37" s="738"/>
      <c r="H37" s="736"/>
      <c r="I37" s="741"/>
      <c r="J37" s="255"/>
      <c r="K37" s="742"/>
    </row>
    <row r="38" ht="15" customHeight="1" spans="1:11" x14ac:dyDescent="0.25">
      <c r="A38" s="735"/>
      <c r="B38" s="736"/>
      <c r="C38" s="737"/>
      <c r="D38" s="738"/>
      <c r="E38" s="739"/>
      <c r="F38" s="740"/>
      <c r="G38" s="738"/>
      <c r="H38" s="736"/>
      <c r="I38" s="741"/>
      <c r="J38" s="255"/>
      <c r="K38" s="742"/>
    </row>
    <row r="39" ht="15" customHeight="1" spans="1:11" x14ac:dyDescent="0.25">
      <c r="A39" s="735"/>
      <c r="B39" s="736"/>
      <c r="C39" s="737"/>
      <c r="D39" s="738"/>
      <c r="E39" s="739"/>
      <c r="F39" s="740"/>
      <c r="G39" s="738"/>
      <c r="H39" s="736"/>
      <c r="I39" s="741"/>
      <c r="J39" s="255"/>
      <c r="K39" s="742"/>
    </row>
    <row r="40" ht="15" customHeight="1" spans="1:11" x14ac:dyDescent="0.25">
      <c r="A40" s="735"/>
      <c r="B40" s="736"/>
      <c r="C40" s="737"/>
      <c r="D40" s="738"/>
      <c r="E40" s="739"/>
      <c r="F40" s="740"/>
      <c r="G40" s="738"/>
      <c r="H40" s="736"/>
      <c r="I40" s="741"/>
      <c r="J40" s="255"/>
      <c r="K40" s="742"/>
    </row>
    <row r="41" ht="15" customHeight="1" spans="1:11" x14ac:dyDescent="0.25">
      <c r="A41" s="735"/>
      <c r="B41" s="736"/>
      <c r="C41" s="737"/>
      <c r="D41" s="738"/>
      <c r="E41" s="739"/>
      <c r="F41" s="740"/>
      <c r="G41" s="738"/>
      <c r="H41" s="736"/>
      <c r="I41" s="741"/>
      <c r="J41" s="255"/>
      <c r="K41" s="742"/>
    </row>
    <row r="42" ht="15" customHeight="1" spans="1:11" x14ac:dyDescent="0.25">
      <c r="A42" s="735"/>
      <c r="B42" s="736"/>
      <c r="C42" s="737"/>
      <c r="D42" s="738"/>
      <c r="E42" s="739"/>
      <c r="F42" s="740"/>
      <c r="G42" s="738"/>
      <c r="H42" s="736"/>
      <c r="I42" s="741"/>
      <c r="J42" s="255"/>
      <c r="K42" s="742"/>
    </row>
    <row r="43" ht="15" customHeight="1" spans="1:11" x14ac:dyDescent="0.25">
      <c r="A43" s="735"/>
      <c r="B43" s="736"/>
      <c r="C43" s="737"/>
      <c r="D43" s="738"/>
      <c r="E43" s="739"/>
      <c r="F43" s="740"/>
      <c r="G43" s="738"/>
      <c r="H43" s="736"/>
      <c r="I43" s="741"/>
      <c r="J43" s="255"/>
      <c r="K43" s="742"/>
    </row>
    <row r="44" ht="15" customHeight="1" spans="1:11" x14ac:dyDescent="0.25">
      <c r="A44" s="735"/>
      <c r="B44" s="736"/>
      <c r="C44" s="737"/>
      <c r="D44" s="738"/>
      <c r="E44" s="739"/>
      <c r="F44" s="740"/>
      <c r="G44" s="738"/>
      <c r="H44" s="736"/>
      <c r="I44" s="741"/>
      <c r="J44" s="255"/>
      <c r="K44" s="742"/>
    </row>
    <row r="45" ht="15" customHeight="1" spans="1:11" x14ac:dyDescent="0.25">
      <c r="A45" s="735"/>
      <c r="B45" s="736"/>
      <c r="C45" s="737"/>
      <c r="D45" s="738"/>
      <c r="E45" s="739"/>
      <c r="F45" s="740"/>
      <c r="G45" s="738"/>
      <c r="H45" s="736"/>
      <c r="I45" s="741"/>
      <c r="J45" s="255"/>
      <c r="K45" s="742"/>
    </row>
    <row r="46" ht="15" customHeight="1" spans="1:11" x14ac:dyDescent="0.25">
      <c r="A46" s="735"/>
      <c r="B46" s="736"/>
      <c r="C46" s="737"/>
      <c r="D46" s="738"/>
      <c r="E46" s="739"/>
      <c r="F46" s="740"/>
      <c r="G46" s="738"/>
      <c r="H46" s="736"/>
      <c r="I46" s="741"/>
      <c r="J46" s="255"/>
      <c r="K46" s="742"/>
    </row>
    <row r="47" ht="15" customHeight="1" spans="1:11" x14ac:dyDescent="0.25">
      <c r="A47" s="735"/>
      <c r="B47" s="736"/>
      <c r="C47" s="737"/>
      <c r="D47" s="738"/>
      <c r="E47" s="739"/>
      <c r="F47" s="740"/>
      <c r="G47" s="738"/>
      <c r="H47" s="736"/>
      <c r="I47" s="741"/>
      <c r="J47" s="255"/>
      <c r="K47" s="742"/>
    </row>
    <row r="48" ht="15.75" customHeight="1" spans="1:11" x14ac:dyDescent="0.25">
      <c r="A48" s="743"/>
      <c r="B48" s="744"/>
      <c r="C48" s="745"/>
      <c r="D48" s="746"/>
      <c r="E48" s="747"/>
      <c r="F48" s="748"/>
      <c r="G48" s="746"/>
      <c r="H48" s="744"/>
      <c r="I48" s="749"/>
      <c r="J48" s="750"/>
      <c r="K48" s="751"/>
    </row>
    <row r="49" ht="4.15" customHeight="1" spans="1:8" x14ac:dyDescent="0.25">
      <c r="A49" s="752"/>
      <c r="B49" s="752"/>
      <c r="C49" s="753"/>
      <c r="D49" s="753"/>
      <c r="E49" s="753"/>
      <c r="F49" s="753"/>
      <c r="G49" s="752"/>
      <c r="H49" s="752"/>
    </row>
    <row r="50" ht="14.25" customHeight="1" spans="1:8" x14ac:dyDescent="0.25">
      <c r="A50" s="754" t="s">
        <v>526</v>
      </c>
      <c r="B50" s="754"/>
      <c r="C50" s="754"/>
      <c r="D50" s="754"/>
      <c r="E50" s="754"/>
      <c r="F50" s="754"/>
      <c r="G50" s="754"/>
      <c r="H50" s="755"/>
    </row>
    <row r="51" ht="4.15" customHeight="1" x14ac:dyDescent="0.25"/>
    <row r="52" spans="1:9" x14ac:dyDescent="0.25">
      <c r="A52" s="756" t="s">
        <v>508</v>
      </c>
      <c r="B52" s="756"/>
      <c r="D52" s="757" t="s">
        <v>527</v>
      </c>
      <c r="E52" s="758"/>
      <c r="F52" s="758"/>
      <c r="G52" s="758" t="s">
        <v>23</v>
      </c>
      <c r="H52" s="759"/>
      <c r="I52" s="760" t="s">
        <v>238</v>
      </c>
    </row>
    <row r="53" ht="25.15" customHeight="1" spans="1:9" x14ac:dyDescent="0.25">
      <c r="A53" s="761">
        <v>2006</v>
      </c>
      <c r="B53" s="761"/>
      <c r="C53" s="762" t="s">
        <v>528</v>
      </c>
      <c r="D53" s="763"/>
      <c r="E53" s="656"/>
      <c r="F53" s="656"/>
      <c r="G53" s="661"/>
      <c r="H53" s="659"/>
      <c r="I53" s="711"/>
    </row>
    <row r="57" spans="9:9" x14ac:dyDescent="0.25">
      <c r="I57" s="5"/>
    </row>
  </sheetData>
  <mergeCells count="103">
    <mergeCell ref="A1:H1"/>
    <mergeCell ref="A2:H2"/>
    <mergeCell ref="A4:B4"/>
    <mergeCell ref="C4:E4"/>
    <mergeCell ref="F4:H4"/>
    <mergeCell ref="I4:K4"/>
    <mergeCell ref="A5:B5"/>
    <mergeCell ref="C5:E5"/>
    <mergeCell ref="F5:H5"/>
    <mergeCell ref="I5:K5"/>
    <mergeCell ref="F6:H6"/>
    <mergeCell ref="I6:K6"/>
    <mergeCell ref="A7:B7"/>
    <mergeCell ref="C7:E7"/>
    <mergeCell ref="F7:H7"/>
    <mergeCell ref="I7:K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A50:H50"/>
    <mergeCell ref="D52:F52"/>
    <mergeCell ref="G52:H52"/>
    <mergeCell ref="D53:F53"/>
    <mergeCell ref="G53:H53"/>
  </mergeCells>
  <printOptions horizontalCentered="1"/>
  <pageMargins left="0" right="0" top="0" bottom="0" header="0" footer="0"/>
  <pageSetup orientation="portrait" horizontalDpi="4294967295" verticalDpi="0" scale="100" fitToWidth="1" fitToHeight="1" firstPageNumber="1" useFirstPageNumber="1" copies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workbookViewId="0" zoomScale="100" zoomScaleNormal="100"/>
  </sheetViews>
  <sheetFormatPr defaultRowHeight="12.75" outlineLevelRow="0" outlineLevelCol="0" x14ac:dyDescent="0" customHeight="1"/>
  <cols>
    <col min="1" max="1" width="5.85546875" customWidth="1"/>
    <col min="2" max="2" width="21.5703125" customWidth="1"/>
    <col min="3" max="3" width="15.7109375" customWidth="1"/>
    <col min="4" max="4" width="10.140625" customWidth="1"/>
    <col min="5" max="5" width="6.7109375" customWidth="1"/>
    <col min="6" max="7" width="16.7109375" customWidth="1"/>
    <col min="8" max="9" width="5.7109375" customWidth="1"/>
  </cols>
  <sheetData>
    <row r="1" ht="20.25" customHeight="1" spans="1:9" x14ac:dyDescent="0.25">
      <c r="A1" s="688" t="s">
        <v>510</v>
      </c>
      <c r="B1" s="10"/>
      <c r="C1" s="10"/>
      <c r="D1" s="10"/>
      <c r="E1" s="10"/>
      <c r="F1" s="10"/>
      <c r="G1" s="10"/>
      <c r="H1" s="10"/>
      <c r="I1" s="10"/>
    </row>
    <row r="2" ht="20.25" customHeight="1" spans="1:9" x14ac:dyDescent="0.25">
      <c r="A2" s="688" t="s">
        <v>529</v>
      </c>
      <c r="B2" s="10"/>
      <c r="C2" s="10"/>
      <c r="D2" s="10"/>
      <c r="E2" s="10"/>
      <c r="F2" s="10"/>
      <c r="G2" s="10"/>
      <c r="H2" s="10"/>
      <c r="I2" s="10"/>
    </row>
    <row r="3" ht="15" customHeight="1" spans="7:9" x14ac:dyDescent="0.25">
      <c r="G3" s="17"/>
      <c r="I3" s="664"/>
    </row>
    <row r="4" spans="1:9" x14ac:dyDescent="0.25">
      <c r="A4" s="706" t="s">
        <v>512</v>
      </c>
      <c r="B4" s="337"/>
      <c r="C4" s="707"/>
      <c r="D4" s="707"/>
      <c r="E4" s="764"/>
      <c r="F4" s="765" t="s">
        <v>513</v>
      </c>
      <c r="G4" s="766"/>
      <c r="H4" s="707"/>
      <c r="I4" s="764"/>
    </row>
    <row r="5" ht="13.5" customHeight="1" spans="1:9" x14ac:dyDescent="0.25">
      <c r="A5" s="767" t="s">
        <v>530</v>
      </c>
      <c r="B5" s="347"/>
      <c r="C5" s="656"/>
      <c r="D5" s="656"/>
      <c r="E5" s="711"/>
      <c r="F5" s="768" t="s">
        <v>515</v>
      </c>
      <c r="G5" s="105"/>
      <c r="H5" s="12"/>
      <c r="I5" s="769"/>
    </row>
    <row r="6" spans="1:9" x14ac:dyDescent="0.25">
      <c r="A6" s="706" t="s">
        <v>531</v>
      </c>
      <c r="B6" s="353"/>
      <c r="C6" s="707"/>
      <c r="D6" s="707"/>
      <c r="E6" s="764"/>
      <c r="F6" s="768" t="s">
        <v>516</v>
      </c>
      <c r="G6" s="12"/>
      <c r="H6" s="10"/>
      <c r="I6" s="770"/>
    </row>
    <row r="7" ht="13.5" customHeight="1" spans="1:9" x14ac:dyDescent="0.25">
      <c r="A7" s="473" t="s">
        <v>532</v>
      </c>
      <c r="B7" s="5"/>
      <c r="C7" s="5"/>
      <c r="D7" s="10"/>
      <c r="E7" s="770"/>
      <c r="F7" s="771" t="s">
        <v>533</v>
      </c>
      <c r="G7" s="656"/>
      <c r="H7" s="542"/>
      <c r="I7" s="772"/>
    </row>
    <row r="8" ht="13.5" customHeight="1" spans="1:9" x14ac:dyDescent="0.25">
      <c r="A8" s="773" t="s">
        <v>534</v>
      </c>
      <c r="B8" s="656"/>
      <c r="C8" s="656"/>
      <c r="D8" s="774"/>
      <c r="E8" s="772"/>
      <c r="F8" s="775" t="s">
        <v>535</v>
      </c>
      <c r="G8" s="670"/>
      <c r="H8" s="542"/>
      <c r="I8" s="772"/>
    </row>
    <row r="9" ht="23.25" customHeight="1" spans="1:9" x14ac:dyDescent="0.25">
      <c r="A9" s="776" t="s">
        <v>536</v>
      </c>
      <c r="B9" s="777"/>
      <c r="C9" s="778" t="s">
        <v>537</v>
      </c>
      <c r="D9" s="778" t="s">
        <v>538</v>
      </c>
      <c r="E9" s="778" t="s">
        <v>521</v>
      </c>
      <c r="F9" s="778" t="s">
        <v>539</v>
      </c>
      <c r="G9" s="779"/>
      <c r="H9" s="778" t="s">
        <v>523</v>
      </c>
      <c r="I9" s="780" t="s">
        <v>524</v>
      </c>
    </row>
    <row r="10" spans="1:9" x14ac:dyDescent="0.25">
      <c r="A10" s="781"/>
      <c r="B10" s="782"/>
      <c r="C10" s="783"/>
      <c r="D10" s="784"/>
      <c r="E10" s="727"/>
      <c r="F10" s="728"/>
      <c r="G10" s="729"/>
      <c r="H10" s="730"/>
      <c r="I10" s="785"/>
    </row>
    <row r="11" ht="15" customHeight="1" spans="1:9" x14ac:dyDescent="0.25">
      <c r="A11" s="786"/>
      <c r="B11" s="787"/>
      <c r="C11" s="788"/>
      <c r="D11" s="789"/>
      <c r="E11" s="738"/>
      <c r="F11" s="739"/>
      <c r="G11" s="740"/>
      <c r="H11" s="738"/>
      <c r="I11" s="790"/>
    </row>
    <row r="12" ht="15" customHeight="1" spans="1:9" x14ac:dyDescent="0.25">
      <c r="A12" s="786"/>
      <c r="B12" s="787"/>
      <c r="C12" s="788"/>
      <c r="D12" s="789"/>
      <c r="E12" s="738"/>
      <c r="F12" s="739"/>
      <c r="G12" s="740"/>
      <c r="H12" s="738"/>
      <c r="I12" s="790"/>
    </row>
    <row r="13" ht="15" customHeight="1" spans="1:9" x14ac:dyDescent="0.25">
      <c r="A13" s="786"/>
      <c r="B13" s="787"/>
      <c r="C13" s="788"/>
      <c r="D13" s="789"/>
      <c r="E13" s="738"/>
      <c r="F13" s="739"/>
      <c r="G13" s="740"/>
      <c r="H13" s="738"/>
      <c r="I13" s="790"/>
    </row>
    <row r="14" ht="15" customHeight="1" spans="1:9" x14ac:dyDescent="0.25">
      <c r="A14" s="786"/>
      <c r="B14" s="787"/>
      <c r="C14" s="788"/>
      <c r="D14" s="789"/>
      <c r="E14" s="738"/>
      <c r="F14" s="739"/>
      <c r="G14" s="740"/>
      <c r="H14" s="738"/>
      <c r="I14" s="790"/>
    </row>
    <row r="15" ht="15" customHeight="1" spans="1:9" x14ac:dyDescent="0.25">
      <c r="A15" s="786"/>
      <c r="B15" s="787"/>
      <c r="C15" s="788"/>
      <c r="D15" s="789"/>
      <c r="E15" s="738"/>
      <c r="F15" s="739"/>
      <c r="G15" s="740"/>
      <c r="H15" s="738"/>
      <c r="I15" s="790"/>
    </row>
    <row r="16" ht="15" customHeight="1" spans="1:9" x14ac:dyDescent="0.25">
      <c r="A16" s="786"/>
      <c r="B16" s="787"/>
      <c r="C16" s="788"/>
      <c r="D16" s="789"/>
      <c r="E16" s="738"/>
      <c r="F16" s="739"/>
      <c r="G16" s="740"/>
      <c r="H16" s="738"/>
      <c r="I16" s="790"/>
    </row>
    <row r="17" ht="15" customHeight="1" spans="1:9" x14ac:dyDescent="0.25">
      <c r="A17" s="786"/>
      <c r="B17" s="787"/>
      <c r="C17" s="788"/>
      <c r="D17" s="789"/>
      <c r="E17" s="738"/>
      <c r="F17" s="739"/>
      <c r="G17" s="740"/>
      <c r="H17" s="738"/>
      <c r="I17" s="790"/>
    </row>
    <row r="18" ht="15" customHeight="1" spans="1:9" x14ac:dyDescent="0.25">
      <c r="A18" s="786"/>
      <c r="B18" s="787"/>
      <c r="C18" s="788"/>
      <c r="D18" s="789"/>
      <c r="E18" s="738"/>
      <c r="F18" s="739"/>
      <c r="G18" s="740"/>
      <c r="H18" s="738"/>
      <c r="I18" s="790"/>
    </row>
    <row r="19" ht="15" customHeight="1" spans="1:9" x14ac:dyDescent="0.25">
      <c r="A19" s="786"/>
      <c r="B19" s="787"/>
      <c r="C19" s="788"/>
      <c r="D19" s="789"/>
      <c r="E19" s="738"/>
      <c r="F19" s="739"/>
      <c r="G19" s="740"/>
      <c r="H19" s="738"/>
      <c r="I19" s="790"/>
    </row>
    <row r="20" ht="15" customHeight="1" spans="1:9" x14ac:dyDescent="0.25">
      <c r="A20" s="786"/>
      <c r="B20" s="787"/>
      <c r="C20" s="788"/>
      <c r="D20" s="789"/>
      <c r="E20" s="738"/>
      <c r="F20" s="739"/>
      <c r="G20" s="740"/>
      <c r="H20" s="738"/>
      <c r="I20" s="790"/>
    </row>
    <row r="21" ht="15" customHeight="1" spans="1:9" x14ac:dyDescent="0.25">
      <c r="A21" s="786"/>
      <c r="B21" s="787"/>
      <c r="C21" s="788"/>
      <c r="D21" s="789"/>
      <c r="E21" s="738"/>
      <c r="F21" s="739"/>
      <c r="G21" s="740"/>
      <c r="H21" s="738"/>
      <c r="I21" s="790"/>
    </row>
    <row r="22" ht="15" customHeight="1" spans="1:9" x14ac:dyDescent="0.25">
      <c r="A22" s="786"/>
      <c r="B22" s="787"/>
      <c r="C22" s="788"/>
      <c r="D22" s="789"/>
      <c r="E22" s="738"/>
      <c r="F22" s="739"/>
      <c r="G22" s="740"/>
      <c r="H22" s="738"/>
      <c r="I22" s="790"/>
    </row>
    <row r="23" ht="15" customHeight="1" spans="1:9" x14ac:dyDescent="0.25">
      <c r="A23" s="786"/>
      <c r="B23" s="787"/>
      <c r="C23" s="788"/>
      <c r="D23" s="789"/>
      <c r="E23" s="738"/>
      <c r="F23" s="739"/>
      <c r="G23" s="740"/>
      <c r="H23" s="738"/>
      <c r="I23" s="790"/>
    </row>
    <row r="24" ht="15" customHeight="1" spans="1:9" x14ac:dyDescent="0.25">
      <c r="A24" s="786"/>
      <c r="B24" s="787"/>
      <c r="C24" s="788"/>
      <c r="D24" s="789"/>
      <c r="E24" s="738"/>
      <c r="F24" s="739"/>
      <c r="G24" s="740"/>
      <c r="H24" s="738"/>
      <c r="I24" s="790"/>
    </row>
    <row r="25" ht="15" customHeight="1" spans="1:9" x14ac:dyDescent="0.25">
      <c r="A25" s="786"/>
      <c r="B25" s="787"/>
      <c r="C25" s="788"/>
      <c r="D25" s="789"/>
      <c r="E25" s="738"/>
      <c r="F25" s="739"/>
      <c r="G25" s="740"/>
      <c r="H25" s="738"/>
      <c r="I25" s="790"/>
    </row>
    <row r="26" ht="15" customHeight="1" spans="1:9" x14ac:dyDescent="0.25">
      <c r="A26" s="786"/>
      <c r="B26" s="787"/>
      <c r="C26" s="788"/>
      <c r="D26" s="789"/>
      <c r="E26" s="738"/>
      <c r="F26" s="739"/>
      <c r="G26" s="740"/>
      <c r="H26" s="738"/>
      <c r="I26" s="790"/>
    </row>
    <row r="27" ht="15" customHeight="1" spans="1:9" x14ac:dyDescent="0.25">
      <c r="A27" s="786"/>
      <c r="B27" s="787"/>
      <c r="C27" s="788"/>
      <c r="D27" s="789"/>
      <c r="E27" s="738"/>
      <c r="F27" s="739"/>
      <c r="G27" s="740"/>
      <c r="H27" s="738"/>
      <c r="I27" s="790"/>
    </row>
    <row r="28" ht="15" customHeight="1" spans="1:9" x14ac:dyDescent="0.25">
      <c r="A28" s="786"/>
      <c r="B28" s="787"/>
      <c r="C28" s="788"/>
      <c r="D28" s="789"/>
      <c r="E28" s="738"/>
      <c r="F28" s="739"/>
      <c r="G28" s="740"/>
      <c r="H28" s="738"/>
      <c r="I28" s="790"/>
    </row>
    <row r="29" ht="15" customHeight="1" spans="1:9" x14ac:dyDescent="0.25">
      <c r="A29" s="786"/>
      <c r="B29" s="787"/>
      <c r="C29" s="788"/>
      <c r="D29" s="789"/>
      <c r="E29" s="738"/>
      <c r="F29" s="739"/>
      <c r="G29" s="740"/>
      <c r="H29" s="738"/>
      <c r="I29" s="790"/>
    </row>
    <row r="30" ht="15" customHeight="1" spans="1:9" x14ac:dyDescent="0.25">
      <c r="A30" s="786"/>
      <c r="B30" s="787"/>
      <c r="C30" s="788"/>
      <c r="D30" s="789"/>
      <c r="E30" s="738"/>
      <c r="F30" s="739"/>
      <c r="G30" s="740"/>
      <c r="H30" s="738"/>
      <c r="I30" s="790"/>
    </row>
    <row r="31" ht="15" customHeight="1" spans="1:9" x14ac:dyDescent="0.25">
      <c r="A31" s="786"/>
      <c r="B31" s="787"/>
      <c r="C31" s="788"/>
      <c r="D31" s="789"/>
      <c r="E31" s="738"/>
      <c r="F31" s="739"/>
      <c r="G31" s="740"/>
      <c r="H31" s="738"/>
      <c r="I31" s="790"/>
    </row>
    <row r="32" ht="15" customHeight="1" spans="1:9" x14ac:dyDescent="0.25">
      <c r="A32" s="786"/>
      <c r="B32" s="787"/>
      <c r="C32" s="788"/>
      <c r="D32" s="789"/>
      <c r="E32" s="738"/>
      <c r="F32" s="739"/>
      <c r="G32" s="740"/>
      <c r="H32" s="738"/>
      <c r="I32" s="790"/>
    </row>
    <row r="33" ht="15" customHeight="1" spans="1:9" x14ac:dyDescent="0.25">
      <c r="A33" s="786"/>
      <c r="B33" s="787"/>
      <c r="C33" s="788"/>
      <c r="D33" s="789"/>
      <c r="E33" s="738"/>
      <c r="F33" s="739"/>
      <c r="G33" s="740"/>
      <c r="H33" s="738"/>
      <c r="I33" s="790"/>
    </row>
    <row r="34" ht="15" customHeight="1" spans="1:9" x14ac:dyDescent="0.25">
      <c r="A34" s="786"/>
      <c r="B34" s="787"/>
      <c r="C34" s="788"/>
      <c r="D34" s="789"/>
      <c r="E34" s="738"/>
      <c r="F34" s="739"/>
      <c r="G34" s="740"/>
      <c r="H34" s="738"/>
      <c r="I34" s="790"/>
    </row>
    <row r="35" ht="15" customHeight="1" spans="1:9" x14ac:dyDescent="0.25">
      <c r="A35" s="786"/>
      <c r="B35" s="787"/>
      <c r="C35" s="788"/>
      <c r="D35" s="789"/>
      <c r="E35" s="738"/>
      <c r="F35" s="739"/>
      <c r="G35" s="740"/>
      <c r="H35" s="738"/>
      <c r="I35" s="790"/>
    </row>
    <row r="36" ht="15" customHeight="1" spans="1:9" x14ac:dyDescent="0.25">
      <c r="A36" s="786"/>
      <c r="B36" s="787"/>
      <c r="C36" s="788"/>
      <c r="D36" s="789"/>
      <c r="E36" s="738"/>
      <c r="F36" s="739"/>
      <c r="G36" s="740"/>
      <c r="H36" s="738"/>
      <c r="I36" s="790"/>
    </row>
    <row r="37" ht="15" customHeight="1" spans="1:9" x14ac:dyDescent="0.25">
      <c r="A37" s="786"/>
      <c r="B37" s="787"/>
      <c r="C37" s="788"/>
      <c r="D37" s="789"/>
      <c r="E37" s="738"/>
      <c r="F37" s="739"/>
      <c r="G37" s="740"/>
      <c r="H37" s="738"/>
      <c r="I37" s="790"/>
    </row>
    <row r="38" ht="15" customHeight="1" spans="1:9" x14ac:dyDescent="0.25">
      <c r="A38" s="786"/>
      <c r="B38" s="787"/>
      <c r="C38" s="788"/>
      <c r="D38" s="789"/>
      <c r="E38" s="738"/>
      <c r="F38" s="739"/>
      <c r="G38" s="740"/>
      <c r="H38" s="738"/>
      <c r="I38" s="790"/>
    </row>
    <row r="39" ht="15" customHeight="1" spans="1:9" x14ac:dyDescent="0.25">
      <c r="A39" s="786"/>
      <c r="B39" s="787"/>
      <c r="C39" s="788"/>
      <c r="D39" s="789"/>
      <c r="E39" s="738"/>
      <c r="F39" s="739"/>
      <c r="G39" s="740"/>
      <c r="H39" s="738"/>
      <c r="I39" s="790"/>
    </row>
    <row r="40" ht="15" customHeight="1" spans="1:9" x14ac:dyDescent="0.25">
      <c r="A40" s="786"/>
      <c r="B40" s="787"/>
      <c r="C40" s="788"/>
      <c r="D40" s="789"/>
      <c r="E40" s="738"/>
      <c r="F40" s="739"/>
      <c r="G40" s="740"/>
      <c r="H40" s="738"/>
      <c r="I40" s="790"/>
    </row>
    <row r="41" ht="15" customHeight="1" spans="1:9" x14ac:dyDescent="0.25">
      <c r="A41" s="786"/>
      <c r="B41" s="787"/>
      <c r="C41" s="788"/>
      <c r="D41" s="789"/>
      <c r="E41" s="738"/>
      <c r="F41" s="739"/>
      <c r="G41" s="740"/>
      <c r="H41" s="738"/>
      <c r="I41" s="790"/>
    </row>
    <row r="42" ht="15" customHeight="1" spans="1:9" x14ac:dyDescent="0.25">
      <c r="A42" s="786"/>
      <c r="B42" s="787"/>
      <c r="C42" s="788"/>
      <c r="D42" s="789"/>
      <c r="E42" s="738"/>
      <c r="F42" s="739"/>
      <c r="G42" s="740"/>
      <c r="H42" s="738"/>
      <c r="I42" s="790"/>
    </row>
    <row r="43" ht="15" customHeight="1" spans="1:9" x14ac:dyDescent="0.25">
      <c r="A43" s="786"/>
      <c r="B43" s="787"/>
      <c r="C43" s="788"/>
      <c r="D43" s="789"/>
      <c r="E43" s="738"/>
      <c r="F43" s="739"/>
      <c r="G43" s="740"/>
      <c r="H43" s="738"/>
      <c r="I43" s="790"/>
    </row>
    <row r="44" ht="15" customHeight="1" spans="1:9" x14ac:dyDescent="0.25">
      <c r="A44" s="786"/>
      <c r="B44" s="787"/>
      <c r="C44" s="788"/>
      <c r="D44" s="789"/>
      <c r="E44" s="738"/>
      <c r="F44" s="739"/>
      <c r="G44" s="740"/>
      <c r="H44" s="738"/>
      <c r="I44" s="790"/>
    </row>
    <row r="45" ht="15" customHeight="1" spans="1:9" x14ac:dyDescent="0.25">
      <c r="A45" s="786"/>
      <c r="B45" s="787"/>
      <c r="C45" s="788"/>
      <c r="D45" s="789"/>
      <c r="E45" s="738"/>
      <c r="F45" s="739"/>
      <c r="G45" s="740"/>
      <c r="H45" s="738"/>
      <c r="I45" s="790"/>
    </row>
    <row r="46" ht="15" customHeight="1" spans="1:9" x14ac:dyDescent="0.25">
      <c r="A46" s="786"/>
      <c r="B46" s="787"/>
      <c r="C46" s="788"/>
      <c r="D46" s="789"/>
      <c r="E46" s="738"/>
      <c r="F46" s="739"/>
      <c r="G46" s="740"/>
      <c r="H46" s="738"/>
      <c r="I46" s="790"/>
    </row>
    <row r="47" ht="15" customHeight="1" spans="1:9" x14ac:dyDescent="0.25">
      <c r="A47" s="786"/>
      <c r="B47" s="787"/>
      <c r="C47" s="788"/>
      <c r="D47" s="789"/>
      <c r="E47" s="738"/>
      <c r="F47" s="739"/>
      <c r="G47" s="740"/>
      <c r="H47" s="738"/>
      <c r="I47" s="790"/>
    </row>
    <row r="48" ht="15" customHeight="1" spans="1:9" x14ac:dyDescent="0.25">
      <c r="A48" s="786"/>
      <c r="B48" s="787"/>
      <c r="C48" s="788"/>
      <c r="D48" s="789"/>
      <c r="E48" s="738"/>
      <c r="F48" s="739"/>
      <c r="G48" s="740"/>
      <c r="H48" s="738"/>
      <c r="I48" s="790"/>
    </row>
    <row r="49" ht="15.75" customHeight="1" spans="1:9" x14ac:dyDescent="0.25">
      <c r="A49" s="791"/>
      <c r="B49" s="792"/>
      <c r="C49" s="793"/>
      <c r="D49" s="794"/>
      <c r="E49" s="746"/>
      <c r="F49" s="747"/>
      <c r="G49" s="748"/>
      <c r="H49" s="746"/>
      <c r="I49" s="795"/>
    </row>
    <row r="50" ht="4.15" customHeight="1" spans="1:9" x14ac:dyDescent="0.25">
      <c r="A50" s="752"/>
      <c r="B50" s="753"/>
      <c r="C50" s="753"/>
      <c r="D50" s="796"/>
      <c r="E50" s="753"/>
      <c r="F50" s="753"/>
      <c r="G50" s="753"/>
      <c r="H50" s="752"/>
      <c r="I50" s="752"/>
    </row>
    <row r="51" ht="15.75" customHeight="1" spans="1:9" x14ac:dyDescent="0.25">
      <c r="A51" s="752"/>
      <c r="B51" s="753"/>
      <c r="C51" s="797" t="s">
        <v>540</v>
      </c>
      <c r="D51" s="798"/>
      <c r="E51" s="798"/>
      <c r="F51" s="798"/>
      <c r="G51" s="798"/>
      <c r="H51" s="798"/>
      <c r="I51" s="799"/>
    </row>
    <row r="52" ht="4.15" customHeight="1" x14ac:dyDescent="0.25"/>
    <row r="53" spans="1:9" x14ac:dyDescent="0.25">
      <c r="A53" s="756" t="s">
        <v>508</v>
      </c>
      <c r="D53" s="757" t="s">
        <v>527</v>
      </c>
      <c r="E53" s="759"/>
      <c r="F53" s="759"/>
      <c r="G53" s="758" t="s">
        <v>238</v>
      </c>
      <c r="H53" s="758" t="s">
        <v>23</v>
      </c>
      <c r="I53" s="800"/>
    </row>
    <row r="54" ht="25.15" customHeight="1" spans="1:9" x14ac:dyDescent="0.25">
      <c r="A54" s="761">
        <v>2006</v>
      </c>
      <c r="B54" s="762" t="s">
        <v>541</v>
      </c>
      <c r="D54" s="763"/>
      <c r="E54" s="656"/>
      <c r="F54" s="656"/>
      <c r="G54" s="660"/>
      <c r="H54" s="661"/>
      <c r="I54" s="801"/>
    </row>
  </sheetData>
  <mergeCells count="106">
    <mergeCell ref="A1:I1"/>
    <mergeCell ref="A2:I2"/>
    <mergeCell ref="A4:B4"/>
    <mergeCell ref="C4:E4"/>
    <mergeCell ref="G4:I4"/>
    <mergeCell ref="A5:B5"/>
    <mergeCell ref="C5:E5"/>
    <mergeCell ref="G5:I5"/>
    <mergeCell ref="C6:E6"/>
    <mergeCell ref="F6:G6"/>
    <mergeCell ref="H6:I6"/>
    <mergeCell ref="A7:C7"/>
    <mergeCell ref="D7:E7"/>
    <mergeCell ref="F7:G7"/>
    <mergeCell ref="H7:I7"/>
    <mergeCell ref="A8:C8"/>
    <mergeCell ref="D8:E8"/>
    <mergeCell ref="F8:G8"/>
    <mergeCell ref="H8:I8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C51:I51"/>
    <mergeCell ref="D53:F53"/>
    <mergeCell ref="H53:I53"/>
    <mergeCell ref="D54:F54"/>
    <mergeCell ref="H54:I54"/>
  </mergeCells>
  <printOptions horizontalCentered="1"/>
  <pageMargins left="0" right="0" top="0" bottom="0" header="0" footer="0"/>
  <pageSetup orientation="portrait" horizontalDpi="4294967295" verticalDpi="0" scale="99" fitToWidth="1" fitToHeight="1" firstPageNumber="1" useFirstPageNumber="1" copies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workbookViewId="0" zoomScale="100" zoomScaleNormal="100"/>
  </sheetViews>
  <sheetFormatPr defaultRowHeight="12.75" outlineLevelRow="0" outlineLevelCol="0" x14ac:dyDescent="0" customHeight="1"/>
  <cols>
    <col min="1" max="1" width="5.85546875" customWidth="1"/>
    <col min="2" max="2" width="21.5703125" customWidth="1"/>
    <col min="3" max="3" width="15.7109375" customWidth="1"/>
    <col min="4" max="4" width="10.140625" customWidth="1"/>
    <col min="5" max="5" width="6.7109375" customWidth="1"/>
    <col min="6" max="7" width="16.7109375" customWidth="1"/>
    <col min="8" max="9" width="5.7109375" customWidth="1"/>
  </cols>
  <sheetData>
    <row r="1" ht="20.25" customHeight="1" spans="1:9" x14ac:dyDescent="0.25">
      <c r="A1" s="688" t="s">
        <v>510</v>
      </c>
      <c r="B1" s="10"/>
      <c r="C1" s="10"/>
      <c r="D1" s="10"/>
      <c r="E1" s="10"/>
      <c r="F1" s="10"/>
      <c r="G1" s="10"/>
      <c r="H1" s="10"/>
      <c r="I1" s="10"/>
    </row>
    <row r="2" ht="20.25" customHeight="1" spans="1:9" x14ac:dyDescent="0.25">
      <c r="A2" s="688" t="s">
        <v>542</v>
      </c>
      <c r="B2" s="10"/>
      <c r="C2" s="10"/>
      <c r="D2" s="10"/>
      <c r="E2" s="10"/>
      <c r="F2" s="10"/>
      <c r="G2" s="10"/>
      <c r="H2" s="10"/>
      <c r="I2" s="10"/>
    </row>
    <row r="3" ht="15" customHeight="1" spans="7:9" x14ac:dyDescent="0.25">
      <c r="G3" s="17"/>
      <c r="I3" s="664"/>
    </row>
    <row r="4" spans="1:9" x14ac:dyDescent="0.25">
      <c r="A4" s="706" t="s">
        <v>512</v>
      </c>
      <c r="B4" s="337"/>
      <c r="C4" s="707"/>
      <c r="D4" s="707"/>
      <c r="E4" s="764"/>
      <c r="F4" s="765" t="s">
        <v>513</v>
      </c>
      <c r="G4" s="766"/>
      <c r="H4" s="707"/>
      <c r="I4" s="764"/>
    </row>
    <row r="5" ht="13.5" customHeight="1" spans="1:9" x14ac:dyDescent="0.25">
      <c r="A5" s="767" t="s">
        <v>530</v>
      </c>
      <c r="B5" s="347"/>
      <c r="C5" s="656"/>
      <c r="D5" s="656"/>
      <c r="E5" s="711"/>
      <c r="F5" s="768" t="s">
        <v>515</v>
      </c>
      <c r="G5" s="105"/>
      <c r="H5" s="12"/>
      <c r="I5" s="769"/>
    </row>
    <row r="6" spans="1:9" x14ac:dyDescent="0.25">
      <c r="A6" s="706" t="s">
        <v>531</v>
      </c>
      <c r="B6" s="353"/>
      <c r="C6" s="707"/>
      <c r="D6" s="707"/>
      <c r="E6" s="764"/>
      <c r="F6" s="768" t="s">
        <v>516</v>
      </c>
      <c r="G6" s="12"/>
      <c r="H6" s="10"/>
      <c r="I6" s="770"/>
    </row>
    <row r="7" ht="13.5" customHeight="1" spans="1:9" x14ac:dyDescent="0.25">
      <c r="A7" s="473" t="s">
        <v>532</v>
      </c>
      <c r="B7" s="5"/>
      <c r="C7" s="5"/>
      <c r="D7" s="10"/>
      <c r="E7" s="770"/>
      <c r="F7" s="771" t="s">
        <v>533</v>
      </c>
      <c r="G7" s="656"/>
      <c r="H7" s="542"/>
      <c r="I7" s="772"/>
    </row>
    <row r="8" ht="13.5" customHeight="1" spans="1:9" x14ac:dyDescent="0.25">
      <c r="A8" s="773" t="s">
        <v>534</v>
      </c>
      <c r="B8" s="656"/>
      <c r="C8" s="656"/>
      <c r="D8" s="774"/>
      <c r="E8" s="772"/>
      <c r="F8" s="802"/>
      <c r="G8" s="803"/>
      <c r="H8" s="804"/>
      <c r="I8" s="805"/>
    </row>
    <row r="9" ht="23.25" customHeight="1" spans="1:9" x14ac:dyDescent="0.25">
      <c r="A9" s="776" t="s">
        <v>543</v>
      </c>
      <c r="B9" s="777"/>
      <c r="C9" s="778" t="s">
        <v>537</v>
      </c>
      <c r="D9" s="778" t="s">
        <v>538</v>
      </c>
      <c r="E9" s="778" t="s">
        <v>521</v>
      </c>
      <c r="F9" s="778" t="s">
        <v>544</v>
      </c>
      <c r="G9" s="779"/>
      <c r="H9" s="778" t="s">
        <v>523</v>
      </c>
      <c r="I9" s="780" t="s">
        <v>524</v>
      </c>
    </row>
    <row r="10" spans="1:9" x14ac:dyDescent="0.25">
      <c r="A10" s="781"/>
      <c r="B10" s="782"/>
      <c r="C10" s="783"/>
      <c r="D10" s="784"/>
      <c r="E10" s="727"/>
      <c r="F10" s="728"/>
      <c r="G10" s="729"/>
      <c r="H10" s="730"/>
      <c r="I10" s="785"/>
    </row>
    <row r="11" ht="15" customHeight="1" spans="1:9" x14ac:dyDescent="0.25">
      <c r="A11" s="786"/>
      <c r="B11" s="787"/>
      <c r="C11" s="788"/>
      <c r="D11" s="789"/>
      <c r="E11" s="738"/>
      <c r="F11" s="739"/>
      <c r="G11" s="740"/>
      <c r="H11" s="738"/>
      <c r="I11" s="790"/>
    </row>
    <row r="12" ht="15" customHeight="1" spans="1:9" x14ac:dyDescent="0.25">
      <c r="A12" s="786"/>
      <c r="B12" s="787"/>
      <c r="C12" s="788"/>
      <c r="D12" s="789"/>
      <c r="E12" s="738"/>
      <c r="F12" s="739"/>
      <c r="G12" s="740"/>
      <c r="H12" s="738"/>
      <c r="I12" s="790"/>
    </row>
    <row r="13" ht="15" customHeight="1" spans="1:9" x14ac:dyDescent="0.25">
      <c r="A13" s="786"/>
      <c r="B13" s="787"/>
      <c r="C13" s="788"/>
      <c r="D13" s="789"/>
      <c r="E13" s="738"/>
      <c r="F13" s="739"/>
      <c r="G13" s="740"/>
      <c r="H13" s="738"/>
      <c r="I13" s="790"/>
    </row>
    <row r="14" ht="15" customHeight="1" spans="1:9" x14ac:dyDescent="0.25">
      <c r="A14" s="786"/>
      <c r="B14" s="787"/>
      <c r="C14" s="788"/>
      <c r="D14" s="789"/>
      <c r="E14" s="738"/>
      <c r="F14" s="739"/>
      <c r="G14" s="740"/>
      <c r="H14" s="738"/>
      <c r="I14" s="790"/>
    </row>
    <row r="15" ht="15" customHeight="1" spans="1:9" x14ac:dyDescent="0.25">
      <c r="A15" s="786"/>
      <c r="B15" s="787"/>
      <c r="C15" s="788"/>
      <c r="D15" s="789"/>
      <c r="E15" s="738"/>
      <c r="F15" s="739"/>
      <c r="G15" s="740"/>
      <c r="H15" s="738"/>
      <c r="I15" s="790"/>
    </row>
    <row r="16" ht="15" customHeight="1" spans="1:9" x14ac:dyDescent="0.25">
      <c r="A16" s="786"/>
      <c r="B16" s="787"/>
      <c r="C16" s="788"/>
      <c r="D16" s="789"/>
      <c r="E16" s="738"/>
      <c r="F16" s="739"/>
      <c r="G16" s="740"/>
      <c r="H16" s="738"/>
      <c r="I16" s="790"/>
    </row>
    <row r="17" ht="15" customHeight="1" spans="1:9" x14ac:dyDescent="0.25">
      <c r="A17" s="786"/>
      <c r="B17" s="787"/>
      <c r="C17" s="788"/>
      <c r="D17" s="789"/>
      <c r="E17" s="738"/>
      <c r="F17" s="739"/>
      <c r="G17" s="740"/>
      <c r="H17" s="738"/>
      <c r="I17" s="790"/>
    </row>
    <row r="18" ht="15" customHeight="1" spans="1:9" x14ac:dyDescent="0.25">
      <c r="A18" s="786"/>
      <c r="B18" s="787"/>
      <c r="C18" s="788"/>
      <c r="D18" s="789"/>
      <c r="E18" s="738"/>
      <c r="F18" s="739"/>
      <c r="G18" s="740"/>
      <c r="H18" s="738"/>
      <c r="I18" s="790"/>
    </row>
    <row r="19" ht="15" customHeight="1" spans="1:9" x14ac:dyDescent="0.25">
      <c r="A19" s="786"/>
      <c r="B19" s="787"/>
      <c r="C19" s="788"/>
      <c r="D19" s="789"/>
      <c r="E19" s="738"/>
      <c r="F19" s="739"/>
      <c r="G19" s="740"/>
      <c r="H19" s="738"/>
      <c r="I19" s="790"/>
    </row>
    <row r="20" ht="15" customHeight="1" spans="1:9" x14ac:dyDescent="0.25">
      <c r="A20" s="786"/>
      <c r="B20" s="787"/>
      <c r="C20" s="788"/>
      <c r="D20" s="789"/>
      <c r="E20" s="738"/>
      <c r="F20" s="739"/>
      <c r="G20" s="740"/>
      <c r="H20" s="738"/>
      <c r="I20" s="790"/>
    </row>
    <row r="21" ht="15" customHeight="1" spans="1:9" x14ac:dyDescent="0.25">
      <c r="A21" s="786"/>
      <c r="B21" s="787"/>
      <c r="C21" s="788"/>
      <c r="D21" s="789"/>
      <c r="E21" s="738"/>
      <c r="F21" s="739"/>
      <c r="G21" s="740"/>
      <c r="H21" s="738"/>
      <c r="I21" s="790"/>
    </row>
    <row r="22" ht="15" customHeight="1" spans="1:9" x14ac:dyDescent="0.25">
      <c r="A22" s="786"/>
      <c r="B22" s="787"/>
      <c r="C22" s="788"/>
      <c r="D22" s="789"/>
      <c r="E22" s="738"/>
      <c r="F22" s="739"/>
      <c r="G22" s="740"/>
      <c r="H22" s="738"/>
      <c r="I22" s="790"/>
    </row>
    <row r="23" ht="15" customHeight="1" spans="1:9" x14ac:dyDescent="0.25">
      <c r="A23" s="786"/>
      <c r="B23" s="787"/>
      <c r="C23" s="788"/>
      <c r="D23" s="789"/>
      <c r="E23" s="738"/>
      <c r="F23" s="739"/>
      <c r="G23" s="740"/>
      <c r="H23" s="738"/>
      <c r="I23" s="790"/>
    </row>
    <row r="24" ht="15" customHeight="1" spans="1:9" x14ac:dyDescent="0.25">
      <c r="A24" s="786"/>
      <c r="B24" s="787"/>
      <c r="C24" s="788"/>
      <c r="D24" s="789"/>
      <c r="E24" s="738"/>
      <c r="F24" s="739"/>
      <c r="G24" s="740"/>
      <c r="H24" s="738"/>
      <c r="I24" s="790"/>
    </row>
    <row r="25" ht="15" customHeight="1" spans="1:9" x14ac:dyDescent="0.25">
      <c r="A25" s="786"/>
      <c r="B25" s="787"/>
      <c r="C25" s="788"/>
      <c r="D25" s="789"/>
      <c r="E25" s="738"/>
      <c r="F25" s="739"/>
      <c r="G25" s="740"/>
      <c r="H25" s="738"/>
      <c r="I25" s="790"/>
    </row>
    <row r="26" ht="15" customHeight="1" spans="1:9" x14ac:dyDescent="0.25">
      <c r="A26" s="786"/>
      <c r="B26" s="787"/>
      <c r="C26" s="788"/>
      <c r="D26" s="789"/>
      <c r="E26" s="738"/>
      <c r="F26" s="739"/>
      <c r="G26" s="740"/>
      <c r="H26" s="738"/>
      <c r="I26" s="790"/>
    </row>
    <row r="27" ht="15" customHeight="1" spans="1:9" x14ac:dyDescent="0.25">
      <c r="A27" s="786"/>
      <c r="B27" s="787"/>
      <c r="C27" s="788"/>
      <c r="D27" s="789"/>
      <c r="E27" s="738"/>
      <c r="F27" s="739"/>
      <c r="G27" s="740"/>
      <c r="H27" s="738"/>
      <c r="I27" s="790"/>
    </row>
    <row r="28" ht="15" customHeight="1" spans="1:9" x14ac:dyDescent="0.25">
      <c r="A28" s="786"/>
      <c r="B28" s="787"/>
      <c r="C28" s="788"/>
      <c r="D28" s="789"/>
      <c r="E28" s="738"/>
      <c r="F28" s="739"/>
      <c r="G28" s="740"/>
      <c r="H28" s="738"/>
      <c r="I28" s="790"/>
    </row>
    <row r="29" ht="15" customHeight="1" spans="1:9" x14ac:dyDescent="0.25">
      <c r="A29" s="786"/>
      <c r="B29" s="787"/>
      <c r="C29" s="788"/>
      <c r="D29" s="789"/>
      <c r="E29" s="738"/>
      <c r="F29" s="739"/>
      <c r="G29" s="740"/>
      <c r="H29" s="738"/>
      <c r="I29" s="790"/>
    </row>
    <row r="30" ht="15" customHeight="1" spans="1:9" x14ac:dyDescent="0.25">
      <c r="A30" s="786"/>
      <c r="B30" s="787"/>
      <c r="C30" s="788"/>
      <c r="D30" s="789"/>
      <c r="E30" s="738"/>
      <c r="F30" s="739"/>
      <c r="G30" s="740"/>
      <c r="H30" s="738"/>
      <c r="I30" s="790"/>
    </row>
    <row r="31" ht="15" customHeight="1" spans="1:9" x14ac:dyDescent="0.25">
      <c r="A31" s="786"/>
      <c r="B31" s="787"/>
      <c r="C31" s="788"/>
      <c r="D31" s="789"/>
      <c r="E31" s="738"/>
      <c r="F31" s="739"/>
      <c r="G31" s="740"/>
      <c r="H31" s="738"/>
      <c r="I31" s="790"/>
    </row>
    <row r="32" ht="15" customHeight="1" spans="1:9" x14ac:dyDescent="0.25">
      <c r="A32" s="786"/>
      <c r="B32" s="787"/>
      <c r="C32" s="788"/>
      <c r="D32" s="789"/>
      <c r="E32" s="738"/>
      <c r="F32" s="739"/>
      <c r="G32" s="740"/>
      <c r="H32" s="738"/>
      <c r="I32" s="790"/>
    </row>
    <row r="33" ht="15" customHeight="1" spans="1:9" x14ac:dyDescent="0.25">
      <c r="A33" s="786"/>
      <c r="B33" s="787"/>
      <c r="C33" s="788"/>
      <c r="D33" s="789"/>
      <c r="E33" s="738"/>
      <c r="F33" s="739"/>
      <c r="G33" s="740"/>
      <c r="H33" s="738"/>
      <c r="I33" s="790"/>
    </row>
    <row r="34" ht="15" customHeight="1" spans="1:9" x14ac:dyDescent="0.25">
      <c r="A34" s="786"/>
      <c r="B34" s="787"/>
      <c r="C34" s="788"/>
      <c r="D34" s="789"/>
      <c r="E34" s="738"/>
      <c r="F34" s="739"/>
      <c r="G34" s="740"/>
      <c r="H34" s="738"/>
      <c r="I34" s="790"/>
    </row>
    <row r="35" ht="15" customHeight="1" spans="1:9" x14ac:dyDescent="0.25">
      <c r="A35" s="786"/>
      <c r="B35" s="787"/>
      <c r="C35" s="788"/>
      <c r="D35" s="789"/>
      <c r="E35" s="738"/>
      <c r="F35" s="739"/>
      <c r="G35" s="740"/>
      <c r="H35" s="738"/>
      <c r="I35" s="790"/>
    </row>
    <row r="36" ht="15" customHeight="1" spans="1:9" x14ac:dyDescent="0.25">
      <c r="A36" s="786"/>
      <c r="B36" s="787"/>
      <c r="C36" s="788"/>
      <c r="D36" s="789"/>
      <c r="E36" s="738"/>
      <c r="F36" s="739"/>
      <c r="G36" s="740"/>
      <c r="H36" s="738"/>
      <c r="I36" s="790"/>
    </row>
    <row r="37" ht="15" customHeight="1" spans="1:9" x14ac:dyDescent="0.25">
      <c r="A37" s="786"/>
      <c r="B37" s="787"/>
      <c r="C37" s="788"/>
      <c r="D37" s="789"/>
      <c r="E37" s="738"/>
      <c r="F37" s="739"/>
      <c r="G37" s="740"/>
      <c r="H37" s="738"/>
      <c r="I37" s="790"/>
    </row>
    <row r="38" ht="15" customHeight="1" spans="1:9" x14ac:dyDescent="0.25">
      <c r="A38" s="786"/>
      <c r="B38" s="787"/>
      <c r="C38" s="788"/>
      <c r="D38" s="789"/>
      <c r="E38" s="738"/>
      <c r="F38" s="739"/>
      <c r="G38" s="740"/>
      <c r="H38" s="738"/>
      <c r="I38" s="790"/>
    </row>
    <row r="39" ht="15" customHeight="1" spans="1:9" x14ac:dyDescent="0.25">
      <c r="A39" s="786"/>
      <c r="B39" s="787"/>
      <c r="C39" s="788"/>
      <c r="D39" s="789"/>
      <c r="E39" s="738"/>
      <c r="F39" s="739"/>
      <c r="G39" s="740"/>
      <c r="H39" s="738"/>
      <c r="I39" s="790"/>
    </row>
    <row r="40" ht="15" customHeight="1" spans="1:9" x14ac:dyDescent="0.25">
      <c r="A40" s="786"/>
      <c r="B40" s="787"/>
      <c r="C40" s="788"/>
      <c r="D40" s="789"/>
      <c r="E40" s="738"/>
      <c r="F40" s="739"/>
      <c r="G40" s="740"/>
      <c r="H40" s="738"/>
      <c r="I40" s="790"/>
    </row>
    <row r="41" ht="15" customHeight="1" spans="1:9" x14ac:dyDescent="0.25">
      <c r="A41" s="786"/>
      <c r="B41" s="787"/>
      <c r="C41" s="788"/>
      <c r="D41" s="789"/>
      <c r="E41" s="738"/>
      <c r="F41" s="739"/>
      <c r="G41" s="740"/>
      <c r="H41" s="738"/>
      <c r="I41" s="790"/>
    </row>
    <row r="42" ht="15" customHeight="1" spans="1:9" x14ac:dyDescent="0.25">
      <c r="A42" s="786"/>
      <c r="B42" s="787"/>
      <c r="C42" s="788"/>
      <c r="D42" s="789"/>
      <c r="E42" s="738"/>
      <c r="F42" s="739"/>
      <c r="G42" s="740"/>
      <c r="H42" s="738"/>
      <c r="I42" s="790"/>
    </row>
    <row r="43" ht="15" customHeight="1" spans="1:9" x14ac:dyDescent="0.25">
      <c r="A43" s="786"/>
      <c r="B43" s="787"/>
      <c r="C43" s="788"/>
      <c r="D43" s="789"/>
      <c r="E43" s="738"/>
      <c r="F43" s="739"/>
      <c r="G43" s="740"/>
      <c r="H43" s="738"/>
      <c r="I43" s="790"/>
    </row>
    <row r="44" ht="15" customHeight="1" spans="1:9" x14ac:dyDescent="0.25">
      <c r="A44" s="786"/>
      <c r="B44" s="787"/>
      <c r="C44" s="788"/>
      <c r="D44" s="789"/>
      <c r="E44" s="738"/>
      <c r="F44" s="739"/>
      <c r="G44" s="740"/>
      <c r="H44" s="738"/>
      <c r="I44" s="790"/>
    </row>
    <row r="45" ht="15" customHeight="1" spans="1:9" x14ac:dyDescent="0.25">
      <c r="A45" s="786"/>
      <c r="B45" s="787"/>
      <c r="C45" s="788"/>
      <c r="D45" s="789"/>
      <c r="E45" s="738"/>
      <c r="F45" s="739"/>
      <c r="G45" s="740"/>
      <c r="H45" s="738"/>
      <c r="I45" s="790"/>
    </row>
    <row r="46" ht="15" customHeight="1" spans="1:9" x14ac:dyDescent="0.25">
      <c r="A46" s="786"/>
      <c r="B46" s="787"/>
      <c r="C46" s="788"/>
      <c r="D46" s="789"/>
      <c r="E46" s="738"/>
      <c r="F46" s="739"/>
      <c r="G46" s="740"/>
      <c r="H46" s="738"/>
      <c r="I46" s="790"/>
    </row>
    <row r="47" ht="15" customHeight="1" spans="1:9" x14ac:dyDescent="0.25">
      <c r="A47" s="786"/>
      <c r="B47" s="787"/>
      <c r="C47" s="788"/>
      <c r="D47" s="789"/>
      <c r="E47" s="738"/>
      <c r="F47" s="739"/>
      <c r="G47" s="740"/>
      <c r="H47" s="738"/>
      <c r="I47" s="790"/>
    </row>
    <row r="48" ht="15" customHeight="1" spans="1:9" x14ac:dyDescent="0.25">
      <c r="A48" s="786"/>
      <c r="B48" s="787"/>
      <c r="C48" s="788"/>
      <c r="D48" s="789"/>
      <c r="E48" s="738"/>
      <c r="F48" s="739"/>
      <c r="G48" s="740"/>
      <c r="H48" s="738"/>
      <c r="I48" s="790"/>
    </row>
    <row r="49" ht="15.75" customHeight="1" spans="1:9" x14ac:dyDescent="0.25">
      <c r="A49" s="791"/>
      <c r="B49" s="792"/>
      <c r="C49" s="793"/>
      <c r="D49" s="794"/>
      <c r="E49" s="746"/>
      <c r="F49" s="747"/>
      <c r="G49" s="748"/>
      <c r="H49" s="746"/>
      <c r="I49" s="795"/>
    </row>
    <row r="50" ht="4.15" customHeight="1" spans="1:9" x14ac:dyDescent="0.25">
      <c r="A50" s="752"/>
      <c r="B50" s="753"/>
      <c r="C50" s="753"/>
      <c r="D50" s="796"/>
      <c r="E50" s="753"/>
      <c r="F50" s="753"/>
      <c r="G50" s="753"/>
      <c r="H50" s="752"/>
      <c r="I50" s="752"/>
    </row>
    <row r="51" ht="15.75" customHeight="1" spans="1:9" x14ac:dyDescent="0.25">
      <c r="A51" s="752"/>
      <c r="B51" s="753"/>
      <c r="C51" s="797" t="s">
        <v>540</v>
      </c>
      <c r="D51" s="798"/>
      <c r="E51" s="798"/>
      <c r="F51" s="798"/>
      <c r="G51" s="798"/>
      <c r="H51" s="798"/>
      <c r="I51" s="799"/>
    </row>
    <row r="52" ht="4.15" customHeight="1" x14ac:dyDescent="0.25"/>
    <row r="53" spans="1:9" x14ac:dyDescent="0.25">
      <c r="A53" s="756" t="s">
        <v>508</v>
      </c>
      <c r="D53" s="757" t="s">
        <v>527</v>
      </c>
      <c r="E53" s="759"/>
      <c r="F53" s="759"/>
      <c r="G53" s="758" t="s">
        <v>238</v>
      </c>
      <c r="H53" s="758" t="s">
        <v>23</v>
      </c>
      <c r="I53" s="800"/>
    </row>
    <row r="54" ht="25.15" customHeight="1" spans="1:9" x14ac:dyDescent="0.25">
      <c r="A54" s="761">
        <v>2006</v>
      </c>
      <c r="B54" s="762" t="s">
        <v>545</v>
      </c>
      <c r="D54" s="763"/>
      <c r="E54" s="656"/>
      <c r="F54" s="656"/>
      <c r="G54" s="660"/>
      <c r="H54" s="661"/>
      <c r="I54" s="801"/>
    </row>
  </sheetData>
  <mergeCells count="106">
    <mergeCell ref="A1:I1"/>
    <mergeCell ref="A2:I2"/>
    <mergeCell ref="A4:B4"/>
    <mergeCell ref="C4:E4"/>
    <mergeCell ref="G4:I4"/>
    <mergeCell ref="A5:B5"/>
    <mergeCell ref="C5:E5"/>
    <mergeCell ref="G5:I5"/>
    <mergeCell ref="C6:E6"/>
    <mergeCell ref="F6:G6"/>
    <mergeCell ref="H6:I6"/>
    <mergeCell ref="A7:C7"/>
    <mergeCell ref="D7:E7"/>
    <mergeCell ref="F7:G7"/>
    <mergeCell ref="H7:I7"/>
    <mergeCell ref="A8:C8"/>
    <mergeCell ref="D8:E8"/>
    <mergeCell ref="F8:G8"/>
    <mergeCell ref="H8:I8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C51:I51"/>
    <mergeCell ref="D53:F53"/>
    <mergeCell ref="H53:I53"/>
    <mergeCell ref="D54:F54"/>
    <mergeCell ref="H54:I54"/>
  </mergeCells>
  <printOptions horizontalCentered="1"/>
  <pageMargins left="0" right="0" top="0" bottom="0" header="0" footer="0"/>
  <pageSetup orientation="portrait" horizontalDpi="4294967295" verticalDpi="0" scale="99" fitToWidth="1" fitToHeight="1" firstPageNumber="1" useFirstPageNumber="1" copies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workbookViewId="0" zoomScale="100" zoomScaleNormal="100">
      <selection activeCell="A47" sqref="A47"/>
    </sheetView>
  </sheetViews>
  <sheetFormatPr defaultRowHeight="12.75" outlineLevelRow="0" outlineLevelCol="0" x14ac:dyDescent="0" customHeight="1"/>
  <cols>
    <col min="1" max="1" width="20.7109375" customWidth="1"/>
    <col min="2" max="6" width="10.7109375" customWidth="1"/>
    <col min="7" max="7" width="11" customWidth="1"/>
    <col min="8" max="16" width="10.7109375" customWidth="1"/>
  </cols>
  <sheetData>
    <row r="1" spans="1:15" x14ac:dyDescent="0.25">
      <c r="A1" s="806" t="s">
        <v>546</v>
      </c>
      <c r="B1" s="807"/>
      <c r="C1" s="807"/>
      <c r="D1" s="807"/>
      <c r="E1" s="807"/>
      <c r="F1" s="807"/>
      <c r="H1" s="13" t="s">
        <v>16</v>
      </c>
      <c r="I1" s="806"/>
      <c r="J1" s="5"/>
      <c r="K1" s="5"/>
      <c r="L1" s="5"/>
      <c r="M1" s="5"/>
      <c r="N1" s="5"/>
      <c r="O1" s="5"/>
    </row>
    <row r="2" spans="1:15" x14ac:dyDescent="0.25">
      <c r="A2" s="808" t="s">
        <v>547</v>
      </c>
      <c r="B2" s="807"/>
      <c r="C2" s="807"/>
      <c r="D2" s="807"/>
      <c r="E2" s="807"/>
      <c r="F2" s="807"/>
      <c r="H2" s="13" t="s">
        <v>17</v>
      </c>
      <c r="I2" s="809" t="s">
        <v>548</v>
      </c>
      <c r="J2" s="5"/>
      <c r="K2" s="5"/>
      <c r="L2" s="5"/>
      <c r="M2" s="5"/>
      <c r="N2" s="5"/>
      <c r="O2" s="5"/>
    </row>
    <row r="3" ht="13.5" customHeight="1" spans="1:15" x14ac:dyDescent="0.25">
      <c r="A3" s="810" t="s">
        <v>549</v>
      </c>
      <c r="B3" s="810"/>
      <c r="C3" s="810"/>
      <c r="D3" s="810"/>
      <c r="E3" s="807"/>
      <c r="F3" s="807"/>
      <c r="H3" s="13" t="s">
        <v>78</v>
      </c>
      <c r="I3" s="811"/>
      <c r="J3" s="5"/>
      <c r="K3" s="5"/>
      <c r="L3" s="5"/>
      <c r="M3" s="5"/>
      <c r="N3" s="5"/>
      <c r="O3" s="5"/>
    </row>
    <row r="4" ht="39" customHeight="1" spans="1:15" x14ac:dyDescent="0.25">
      <c r="A4" s="12" t="s">
        <v>550</v>
      </c>
      <c r="E4" s="812" t="s">
        <v>551</v>
      </c>
      <c r="F4" s="813">
        <v>0</v>
      </c>
      <c r="G4" s="812" t="s">
        <v>552</v>
      </c>
      <c r="H4" s="807"/>
      <c r="I4" s="807"/>
      <c r="J4" s="5"/>
      <c r="K4" s="5"/>
      <c r="L4" s="5"/>
      <c r="M4" s="5"/>
      <c r="N4" s="5"/>
      <c r="O4" s="5"/>
    </row>
    <row r="5" ht="13.5" customHeight="1" spans="1:15" x14ac:dyDescent="0.25">
      <c r="A5" s="5" t="s">
        <v>553</v>
      </c>
      <c r="F5" s="813">
        <v>0</v>
      </c>
      <c r="G5" s="814"/>
      <c r="H5" s="815"/>
      <c r="I5" s="815"/>
      <c r="J5" s="815"/>
      <c r="K5" s="815"/>
      <c r="L5" s="815"/>
      <c r="M5" s="815"/>
      <c r="N5" s="815"/>
      <c r="O5" s="815"/>
    </row>
    <row r="6" ht="13.5" customHeight="1" spans="1:6" x14ac:dyDescent="0.25">
      <c r="A6" s="5" t="s">
        <v>554</v>
      </c>
      <c r="F6" s="813">
        <v>0</v>
      </c>
    </row>
    <row r="7" ht="13.5" customHeight="1" spans="1:15" x14ac:dyDescent="0.25">
      <c r="A7" s="5" t="s">
        <v>555</v>
      </c>
      <c r="F7" s="813">
        <v>0</v>
      </c>
      <c r="H7" s="816"/>
      <c r="I7" s="816"/>
      <c r="J7" s="816"/>
      <c r="K7" s="816"/>
      <c r="L7" s="816"/>
      <c r="M7" s="816"/>
      <c r="N7" s="816"/>
      <c r="O7" s="816"/>
    </row>
    <row r="8" ht="13.5" customHeight="1" spans="1:6" x14ac:dyDescent="0.25">
      <c r="A8" s="5" t="s">
        <v>556</v>
      </c>
      <c r="F8" s="813">
        <v>0</v>
      </c>
    </row>
    <row r="9" ht="13.5" customHeight="1" spans="1:15" x14ac:dyDescent="0.25">
      <c r="A9" s="12" t="s">
        <v>557</v>
      </c>
      <c r="F9" s="817">
        <f>+$F$4*$F$5*$F6*$F$7</f>
        <v>0</v>
      </c>
      <c r="H9" s="816"/>
      <c r="I9" s="816"/>
      <c r="J9" s="816"/>
      <c r="K9" s="816"/>
      <c r="L9" s="816"/>
      <c r="M9" s="816"/>
      <c r="N9" s="816"/>
      <c r="O9" s="816"/>
    </row>
    <row r="10" ht="13.5" customHeight="1" spans="1:6" x14ac:dyDescent="0.25">
      <c r="A10" s="12" t="s">
        <v>558</v>
      </c>
      <c r="F10" s="817" t="str">
        <f>IF(F9=0,"Total Hr ",F9/F7)</f>
        <v>Total Hr </v>
      </c>
    </row>
    <row r="11" ht="13.5" customHeight="1" spans="1:15" x14ac:dyDescent="0.25">
      <c r="A11" s="818" t="s">
        <v>23</v>
      </c>
      <c r="B11" s="819"/>
      <c r="C11" s="819"/>
      <c r="D11" s="819"/>
      <c r="E11" s="819"/>
      <c r="F11" s="819"/>
      <c r="G11" s="819"/>
      <c r="H11" s="819"/>
      <c r="I11" s="819"/>
      <c r="J11" s="819"/>
      <c r="K11" s="819"/>
      <c r="L11" s="819"/>
      <c r="M11" s="819"/>
      <c r="N11" s="819"/>
      <c r="O11" s="819"/>
    </row>
    <row r="12" ht="26.25" customHeight="1" spans="1:15" x14ac:dyDescent="0.25">
      <c r="A12" s="820" t="s">
        <v>559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19"/>
      <c r="N12" s="819"/>
      <c r="O12" s="819"/>
    </row>
    <row r="13" ht="26.25" customHeight="1" spans="1:16" x14ac:dyDescent="0.25">
      <c r="A13" s="821" t="s">
        <v>560</v>
      </c>
      <c r="B13" s="822"/>
      <c r="C13" s="822"/>
      <c r="D13" s="822"/>
      <c r="E13" s="822"/>
      <c r="F13" s="822"/>
      <c r="G13" s="822"/>
      <c r="H13" s="822"/>
      <c r="I13" s="822"/>
      <c r="J13" s="822"/>
      <c r="K13" s="822"/>
      <c r="L13" s="822"/>
      <c r="M13" s="822"/>
      <c r="N13" s="822"/>
      <c r="O13" s="822"/>
      <c r="P13" s="817" t="e">
        <f>+AVERAGE(B13:O13)</f>
        <v>#DIV/0!</v>
      </c>
    </row>
    <row r="14" ht="13.5" customHeight="1" spans="1:16" x14ac:dyDescent="0.25">
      <c r="A14" s="821" t="s">
        <v>561</v>
      </c>
      <c r="B14" s="822"/>
      <c r="C14" s="822"/>
      <c r="D14" s="822"/>
      <c r="E14" s="822"/>
      <c r="F14" s="822"/>
      <c r="G14" s="822"/>
      <c r="H14" s="822"/>
      <c r="I14" s="822"/>
      <c r="J14" s="822"/>
      <c r="K14" s="822"/>
      <c r="L14" s="822"/>
      <c r="M14" s="822"/>
      <c r="N14" s="822"/>
      <c r="O14" s="822"/>
      <c r="P14" s="817" t="e">
        <f>+AVERAGE(B14:O14)</f>
        <v>#DIV/0!</v>
      </c>
    </row>
    <row r="15" ht="26.25" customHeight="1" spans="1:16" x14ac:dyDescent="0.25">
      <c r="A15" s="821" t="s">
        <v>562</v>
      </c>
      <c r="B15" s="822"/>
      <c r="C15" s="822"/>
      <c r="D15" s="822"/>
      <c r="E15" s="822"/>
      <c r="F15" s="822"/>
      <c r="G15" s="822"/>
      <c r="H15" s="822"/>
      <c r="I15" s="822"/>
      <c r="J15" s="822"/>
      <c r="K15" s="822"/>
      <c r="L15" s="822"/>
      <c r="M15" s="822"/>
      <c r="N15" s="822"/>
      <c r="O15" s="822"/>
      <c r="P15" s="817">
        <v>0</v>
      </c>
    </row>
    <row r="16" ht="13.5" customHeight="1" x14ac:dyDescent="0.25"/>
    <row r="17" ht="26.25" customHeight="1" spans="1:16" x14ac:dyDescent="0.25">
      <c r="A17" s="821" t="s">
        <v>563</v>
      </c>
      <c r="B17" s="817">
        <f t="shared" ref="B17:O17" si="0">+IF(B13="","", B13-B14+B15)</f>
      </c>
      <c r="C17" s="817">
        <f t="shared" si="0"/>
      </c>
      <c r="D17" s="817">
        <f t="shared" si="0"/>
      </c>
      <c r="E17" s="817">
        <f t="shared" si="0"/>
      </c>
      <c r="F17" s="817">
        <f t="shared" si="0"/>
      </c>
      <c r="G17" s="817">
        <f t="shared" si="0"/>
      </c>
      <c r="H17" s="817">
        <f t="shared" si="0"/>
      </c>
      <c r="I17" s="817">
        <f t="shared" si="0"/>
      </c>
      <c r="J17" s="817">
        <f t="shared" si="0"/>
      </c>
      <c r="K17" s="817">
        <f t="shared" si="0"/>
      </c>
      <c r="L17" s="817">
        <f t="shared" si="0"/>
      </c>
      <c r="M17" s="817">
        <f t="shared" si="0"/>
      </c>
      <c r="N17" s="817">
        <f t="shared" si="0"/>
      </c>
      <c r="O17" s="817">
        <f t="shared" si="0"/>
      </c>
      <c r="P17" s="817" t="e">
        <f>+AVERAGE(B17:O17)</f>
        <v>#DIV/0!</v>
      </c>
    </row>
    <row r="18" ht="26.25" customHeight="1" spans="1:16" x14ac:dyDescent="0.25">
      <c r="A18" s="821" t="s">
        <v>564</v>
      </c>
      <c r="B18" s="823">
        <f t="shared" ref="B18:O18" si="1">+IF(B13="", "", ((B17-B15)/$F10))</f>
      </c>
      <c r="C18" s="823">
        <f t="shared" si="1"/>
      </c>
      <c r="D18" s="823">
        <f t="shared" si="1"/>
      </c>
      <c r="E18" s="823">
        <f t="shared" si="1"/>
      </c>
      <c r="F18" s="823">
        <f t="shared" si="1"/>
      </c>
      <c r="G18" s="823">
        <f t="shared" si="1"/>
      </c>
      <c r="H18" s="823">
        <f t="shared" si="1"/>
      </c>
      <c r="I18" s="823">
        <f t="shared" si="1"/>
      </c>
      <c r="J18" s="823">
        <f t="shared" si="1"/>
      </c>
      <c r="K18" s="823">
        <f t="shared" si="1"/>
      </c>
      <c r="L18" s="823">
        <f t="shared" si="1"/>
      </c>
      <c r="M18" s="823">
        <f t="shared" si="1"/>
      </c>
      <c r="N18" s="823">
        <f t="shared" si="1"/>
      </c>
      <c r="O18" s="823">
        <f t="shared" si="1"/>
      </c>
      <c r="P18" s="823" t="e">
        <f>+SUM(B18:O18)/$F$7</f>
        <v>#DIV/0!</v>
      </c>
    </row>
    <row r="19" ht="13.5" customHeight="1" spans="1:16" x14ac:dyDescent="0.25">
      <c r="A19" s="824" t="s">
        <v>565</v>
      </c>
      <c r="B19" s="823">
        <f t="shared" ref="B19:O19" si="2">+IF(B13="", "", (B17/$F10))</f>
      </c>
      <c r="C19" s="823">
        <f t="shared" si="2"/>
      </c>
      <c r="D19" s="823">
        <f t="shared" si="2"/>
      </c>
      <c r="E19" s="823">
        <f t="shared" si="2"/>
      </c>
      <c r="F19" s="823">
        <f t="shared" si="2"/>
      </c>
      <c r="G19" s="823">
        <f t="shared" si="2"/>
      </c>
      <c r="H19" s="823">
        <f t="shared" si="2"/>
      </c>
      <c r="I19" s="823">
        <f t="shared" si="2"/>
      </c>
      <c r="J19" s="823">
        <f t="shared" si="2"/>
      </c>
      <c r="K19" s="823">
        <f t="shared" si="2"/>
      </c>
      <c r="L19" s="823">
        <f t="shared" si="2"/>
      </c>
      <c r="M19" s="823">
        <f t="shared" si="2"/>
      </c>
      <c r="N19" s="823">
        <f t="shared" si="2"/>
      </c>
      <c r="O19" s="823">
        <f t="shared" si="2"/>
      </c>
      <c r="P19" s="823" t="e">
        <f>+SUM(B19:O19)/$F$7</f>
        <v>#DIV/0!</v>
      </c>
    </row>
    <row r="20" ht="13.5" customHeight="1" spans="1:16" x14ac:dyDescent="0.25">
      <c r="A20" s="824" t="s">
        <v>566</v>
      </c>
      <c r="B20" s="825">
        <f t="shared" ref="B20:O20" si="3">+IF(B14="", "", (B14/$F10))</f>
      </c>
      <c r="C20" s="825">
        <f t="shared" si="3"/>
      </c>
      <c r="D20" s="825">
        <f t="shared" si="3"/>
      </c>
      <c r="E20" s="825">
        <f t="shared" si="3"/>
      </c>
      <c r="F20" s="825">
        <f t="shared" si="3"/>
      </c>
      <c r="G20" s="825">
        <f t="shared" si="3"/>
      </c>
      <c r="H20" s="825">
        <f t="shared" si="3"/>
      </c>
      <c r="I20" s="825">
        <f t="shared" si="3"/>
      </c>
      <c r="J20" s="825">
        <f t="shared" si="3"/>
      </c>
      <c r="K20" s="825">
        <f t="shared" si="3"/>
      </c>
      <c r="L20" s="825">
        <f t="shared" si="3"/>
      </c>
      <c r="M20" s="825">
        <f t="shared" si="3"/>
      </c>
      <c r="N20" s="825">
        <f t="shared" si="3"/>
      </c>
      <c r="O20" s="825">
        <f t="shared" si="3"/>
      </c>
      <c r="P20" s="825" t="e">
        <f>+P14/$F$10</f>
        <v>#DIV/0!</v>
      </c>
    </row>
    <row r="21" ht="13.5" customHeight="1" spans="1:16" x14ac:dyDescent="0.25">
      <c r="A21" s="824" t="s">
        <v>567</v>
      </c>
      <c r="B21" s="823">
        <f t="shared" ref="B21:O21" si="4">+IF(B15="","",(B15/B13))</f>
      </c>
      <c r="C21" s="823">
        <f t="shared" si="4"/>
      </c>
      <c r="D21" s="823">
        <f t="shared" si="4"/>
      </c>
      <c r="E21" s="823">
        <f t="shared" si="4"/>
      </c>
      <c r="F21" s="823">
        <f t="shared" si="4"/>
      </c>
      <c r="G21" s="823">
        <f t="shared" si="4"/>
      </c>
      <c r="H21" s="823">
        <f t="shared" si="4"/>
      </c>
      <c r="I21" s="823">
        <f t="shared" si="4"/>
      </c>
      <c r="J21" s="823">
        <f t="shared" si="4"/>
      </c>
      <c r="K21" s="823">
        <f t="shared" si="4"/>
      </c>
      <c r="L21" s="823">
        <f t="shared" si="4"/>
      </c>
      <c r="M21" s="823">
        <f t="shared" si="4"/>
      </c>
      <c r="N21" s="823">
        <f t="shared" si="4"/>
      </c>
      <c r="O21" s="823">
        <f t="shared" si="4"/>
      </c>
      <c r="P21" s="825" t="e">
        <f>+P15/P13</f>
        <v>#DIV/0!</v>
      </c>
    </row>
    <row r="22" ht="13.5" customHeight="1" spans="1:1" x14ac:dyDescent="0.25">
      <c r="A22" s="826"/>
    </row>
    <row r="23" ht="39" customHeight="1" spans="1:16" x14ac:dyDescent="0.25">
      <c r="A23" s="820" t="s">
        <v>568</v>
      </c>
      <c r="B23" s="827"/>
      <c r="C23" s="827"/>
      <c r="D23" s="827"/>
      <c r="E23" s="827"/>
      <c r="F23" s="827"/>
      <c r="G23" s="827"/>
      <c r="H23" s="827"/>
      <c r="I23" s="827"/>
      <c r="J23" s="827"/>
      <c r="K23" s="827"/>
      <c r="L23" s="827"/>
      <c r="M23" s="827"/>
      <c r="N23" s="827"/>
      <c r="O23" s="827">
        <v>3269</v>
      </c>
      <c r="P23" s="828">
        <f>+SUM(B23:O23)</f>
        <v>3269</v>
      </c>
    </row>
    <row r="24" ht="26.25" customHeight="1" spans="1:16" x14ac:dyDescent="0.25">
      <c r="A24" s="820" t="s">
        <v>569</v>
      </c>
      <c r="B24" s="827"/>
      <c r="C24" s="827"/>
      <c r="D24" s="827"/>
      <c r="E24" s="827"/>
      <c r="F24" s="827"/>
      <c r="G24" s="827"/>
      <c r="H24" s="827"/>
      <c r="I24" s="827"/>
      <c r="J24" s="827"/>
      <c r="K24" s="827"/>
      <c r="L24" s="827"/>
      <c r="M24" s="827"/>
      <c r="N24" s="827"/>
      <c r="O24" s="827">
        <v>17</v>
      </c>
      <c r="P24" s="828">
        <f>+SUM(B24:O24)</f>
        <v>17</v>
      </c>
    </row>
    <row r="25" ht="13.5" customHeight="1" spans="1:16" x14ac:dyDescent="0.25">
      <c r="A25" s="829" t="s">
        <v>570</v>
      </c>
      <c r="B25" s="825">
        <f t="shared" ref="B25:P25" si="5">+IF(B24="", "", B24/B23)</f>
      </c>
      <c r="C25" s="825">
        <f t="shared" si="5"/>
      </c>
      <c r="D25" s="825">
        <f t="shared" si="5"/>
      </c>
      <c r="E25" s="825">
        <f t="shared" si="5"/>
      </c>
      <c r="F25" s="825">
        <f t="shared" si="5"/>
      </c>
      <c r="G25" s="825">
        <f t="shared" si="5"/>
      </c>
      <c r="H25" s="825">
        <f t="shared" si="5"/>
      </c>
      <c r="I25" s="825">
        <f t="shared" si="5"/>
      </c>
      <c r="J25" s="825">
        <f t="shared" si="5"/>
      </c>
      <c r="K25" s="825">
        <f t="shared" si="5"/>
      </c>
      <c r="L25" s="825">
        <f t="shared" si="5"/>
      </c>
      <c r="M25" s="825">
        <f t="shared" si="5"/>
      </c>
      <c r="N25" s="825">
        <f t="shared" si="5"/>
      </c>
      <c r="O25" s="825">
        <f t="shared" si="5"/>
        <v>0.005200367084735393</v>
      </c>
      <c r="P25" s="825">
        <f t="shared" si="5"/>
        <v>0.005200367084735393</v>
      </c>
    </row>
    <row r="26" ht="13.5" customHeight="1" spans="1:1" x14ac:dyDescent="0.25">
      <c r="A26" s="830"/>
    </row>
    <row r="27" ht="26.25" customHeight="1" spans="1:16" x14ac:dyDescent="0.25">
      <c r="A27" s="831" t="s">
        <v>571</v>
      </c>
      <c r="B27" s="832">
        <f t="shared" ref="B27:J27" si="6">+IF(B13="","",(B23-B24)/(B13+B15))</f>
      </c>
      <c r="C27" s="832">
        <f t="shared" si="6"/>
      </c>
      <c r="D27" s="832">
        <f t="shared" si="6"/>
      </c>
      <c r="E27" s="832">
        <f t="shared" si="6"/>
      </c>
      <c r="F27" s="832">
        <f t="shared" si="6"/>
      </c>
      <c r="G27" s="832">
        <f t="shared" si="6"/>
      </c>
      <c r="H27" s="832">
        <f t="shared" si="6"/>
      </c>
      <c r="I27" s="832">
        <f t="shared" si="6"/>
      </c>
      <c r="J27" s="832">
        <f t="shared" si="6"/>
      </c>
      <c r="K27" s="832"/>
      <c r="L27" s="832"/>
      <c r="M27" s="832"/>
      <c r="N27" s="832"/>
      <c r="O27" s="832">
        <f>+IF(O13="","",(O23-O24)/(O13+O15))</f>
      </c>
      <c r="P27" s="832" t="e">
        <f>+AVERAGE(B27:O27)</f>
        <v>#DIV/0!</v>
      </c>
    </row>
    <row r="28" ht="26.25" customHeight="1" spans="1:16" x14ac:dyDescent="0.25">
      <c r="A28" s="831" t="s">
        <v>572</v>
      </c>
      <c r="B28" s="833">
        <f t="shared" ref="B28:O28" si="7">+IF(B13="","",(B23-B24/((B13+B15)*60)))</f>
      </c>
      <c r="C28" s="833">
        <f t="shared" si="7"/>
      </c>
      <c r="D28" s="833">
        <f t="shared" si="7"/>
      </c>
      <c r="E28" s="833">
        <f t="shared" si="7"/>
      </c>
      <c r="F28" s="833">
        <f t="shared" si="7"/>
      </c>
      <c r="G28" s="833">
        <f t="shared" si="7"/>
      </c>
      <c r="H28" s="833">
        <f t="shared" si="7"/>
      </c>
      <c r="I28" s="833">
        <f t="shared" si="7"/>
      </c>
      <c r="J28" s="833">
        <f t="shared" si="7"/>
      </c>
      <c r="K28" s="833">
        <f t="shared" si="7"/>
      </c>
      <c r="L28" s="833">
        <f t="shared" si="7"/>
      </c>
      <c r="M28" s="833">
        <f t="shared" si="7"/>
      </c>
      <c r="N28" s="833">
        <f t="shared" si="7"/>
      </c>
      <c r="O28" s="833">
        <f t="shared" si="7"/>
      </c>
      <c r="P28" s="832" t="e">
        <f>+AVERAGE(B28:O28)</f>
        <v>#DIV/0!</v>
      </c>
    </row>
    <row r="29" ht="13.5" customHeight="1" spans="1:16" x14ac:dyDescent="0.25">
      <c r="A29" s="834" t="s">
        <v>573</v>
      </c>
      <c r="B29" s="833">
        <f t="shared" ref="B29:J29" si="8">+IF(B27="","", 60/B27)</f>
      </c>
      <c r="C29" s="833">
        <f t="shared" si="8"/>
      </c>
      <c r="D29" s="833">
        <f t="shared" si="8"/>
      </c>
      <c r="E29" s="833">
        <f t="shared" si="8"/>
      </c>
      <c r="F29" s="833">
        <f t="shared" si="8"/>
      </c>
      <c r="G29" s="833">
        <f t="shared" si="8"/>
      </c>
      <c r="H29" s="833">
        <f t="shared" si="8"/>
      </c>
      <c r="I29" s="833">
        <f t="shared" si="8"/>
      </c>
      <c r="J29" s="833">
        <f t="shared" si="8"/>
      </c>
      <c r="K29" s="833"/>
      <c r="L29" s="833"/>
      <c r="M29" s="833"/>
      <c r="N29" s="833"/>
      <c r="O29" s="833">
        <f>+IF(O27="","", 60/O27)</f>
      </c>
      <c r="P29" s="832" t="e">
        <f>+AVERAGE(B29:O29)</f>
        <v>#DIV/0!</v>
      </c>
    </row>
    <row r="30" ht="13.5" customHeight="1" spans="1:16" x14ac:dyDescent="0.25">
      <c r="A30" s="834" t="s">
        <v>574</v>
      </c>
      <c r="B30" s="833">
        <f t="shared" ref="B30:J30" si="9">+IF(B29="","",B29/60)</f>
      </c>
      <c r="C30" s="833">
        <f t="shared" si="9"/>
      </c>
      <c r="D30" s="833">
        <f t="shared" si="9"/>
      </c>
      <c r="E30" s="833">
        <f t="shared" si="9"/>
      </c>
      <c r="F30" s="833">
        <f t="shared" si="9"/>
      </c>
      <c r="G30" s="833">
        <f t="shared" si="9"/>
      </c>
      <c r="H30" s="833">
        <f t="shared" si="9"/>
      </c>
      <c r="I30" s="833">
        <f t="shared" si="9"/>
      </c>
      <c r="J30" s="833">
        <f t="shared" si="9"/>
      </c>
      <c r="K30" s="833"/>
      <c r="L30" s="833"/>
      <c r="M30" s="833"/>
      <c r="N30" s="833"/>
      <c r="O30" s="833">
        <f>+IF(O29="","",O29/60)</f>
      </c>
      <c r="P30" s="832" t="e">
        <f>+AVERAGE(B30:O30)</f>
        <v>#DIV/0!</v>
      </c>
    </row>
    <row r="31" ht="26.25" customHeight="1" spans="1:16" x14ac:dyDescent="0.25">
      <c r="A31" s="834" t="s">
        <v>575</v>
      </c>
      <c r="B31" s="832">
        <f t="shared" ref="B31:J31" si="10">+IF(B23="","",($P30*(B23-B24)))</f>
      </c>
      <c r="C31" s="832">
        <f t="shared" si="10"/>
      </c>
      <c r="D31" s="832">
        <f t="shared" si="10"/>
      </c>
      <c r="E31" s="832">
        <f t="shared" si="10"/>
      </c>
      <c r="F31" s="832">
        <f t="shared" si="10"/>
      </c>
      <c r="G31" s="832">
        <f t="shared" si="10"/>
      </c>
      <c r="H31" s="832">
        <f t="shared" si="10"/>
      </c>
      <c r="I31" s="832">
        <f t="shared" si="10"/>
      </c>
      <c r="J31" s="832">
        <f t="shared" si="10"/>
      </c>
      <c r="K31" s="832"/>
      <c r="L31" s="832"/>
      <c r="M31" s="832"/>
      <c r="N31" s="832"/>
      <c r="O31" s="832" t="e">
        <f>+IF(O23="","",($P30*(O23-O24)))</f>
        <v>#DIV/0!</v>
      </c>
      <c r="P31" s="832" t="e">
        <f>+AVERAGE(B31:O31)</f>
        <v>#DIV/0!</v>
      </c>
    </row>
    <row r="32" ht="13.5" customHeight="1" spans="1:16" x14ac:dyDescent="0.25">
      <c r="A32" s="834" t="s">
        <v>576</v>
      </c>
      <c r="B32" s="825">
        <f t="shared" ref="B32:J32" si="11">+IF(B31="","",B31/(B13+B15))</f>
      </c>
      <c r="C32" s="825">
        <f t="shared" si="11"/>
      </c>
      <c r="D32" s="825">
        <f t="shared" si="11"/>
      </c>
      <c r="E32" s="825">
        <f t="shared" si="11"/>
      </c>
      <c r="F32" s="825">
        <f t="shared" si="11"/>
      </c>
      <c r="G32" s="825">
        <f t="shared" si="11"/>
      </c>
      <c r="H32" s="825">
        <f t="shared" si="11"/>
      </c>
      <c r="I32" s="825">
        <f t="shared" si="11"/>
      </c>
      <c r="J32" s="825">
        <f t="shared" si="11"/>
      </c>
      <c r="K32" s="825"/>
      <c r="L32" s="825"/>
      <c r="M32" s="825"/>
      <c r="N32" s="825"/>
      <c r="O32" s="825" t="e">
        <f>+IF(O31="","",O31/(O13+O15))</f>
        <v>#DIV/0!</v>
      </c>
      <c r="P32" s="825" t="e">
        <f>+P31/P13</f>
        <v>#DIV/0!</v>
      </c>
    </row>
    <row r="33" ht="13.5" customHeight="1" spans="1:16" x14ac:dyDescent="0.25">
      <c r="A33" s="834"/>
      <c r="B33" s="835"/>
      <c r="C33" s="835"/>
      <c r="D33" s="835"/>
      <c r="E33" s="835"/>
      <c r="F33" s="835"/>
      <c r="G33" s="835"/>
      <c r="H33" s="835"/>
      <c r="I33" s="835"/>
      <c r="J33" s="835"/>
      <c r="K33" s="835"/>
      <c r="L33" s="835"/>
      <c r="M33" s="835"/>
      <c r="N33" s="835"/>
      <c r="O33" s="835"/>
      <c r="P33" s="835"/>
    </row>
    <row r="34" ht="39" customHeight="1" spans="1:16" x14ac:dyDescent="0.25">
      <c r="A34" s="836" t="s">
        <v>577</v>
      </c>
      <c r="B34" s="837" t="e">
        <f>+(F9/F7)/P30</f>
        <v>#DIV/0!</v>
      </c>
      <c r="E34" s="835"/>
      <c r="F34" s="835"/>
      <c r="G34" s="835"/>
      <c r="H34" s="835"/>
      <c r="I34" s="835"/>
      <c r="J34" s="835"/>
      <c r="K34" s="835"/>
      <c r="L34" s="835"/>
      <c r="M34" s="835"/>
      <c r="N34" s="835"/>
      <c r="O34" s="835"/>
      <c r="P34" s="835"/>
    </row>
    <row r="35" ht="39" customHeight="1" spans="1:16" x14ac:dyDescent="0.25">
      <c r="A35" s="838" t="s">
        <v>578</v>
      </c>
      <c r="B35" s="837" t="e">
        <f>+(P23-P24)/$F$7</f>
        <v>#DIV/0!</v>
      </c>
      <c r="E35" s="839"/>
      <c r="F35" s="835"/>
      <c r="G35" s="835"/>
      <c r="H35" s="835"/>
      <c r="I35" s="835"/>
      <c r="J35" s="835"/>
      <c r="K35" s="835"/>
      <c r="L35" s="835"/>
      <c r="M35" s="835"/>
      <c r="N35" s="835"/>
      <c r="O35" s="835"/>
      <c r="P35" s="835"/>
    </row>
    <row r="36" ht="26.25" customHeight="1" spans="1:5" x14ac:dyDescent="0.25">
      <c r="A36" s="840" t="s">
        <v>579</v>
      </c>
      <c r="B36" s="837" t="e">
        <f>+((P17)*P32*P19)/P30</f>
        <v>#DIV/0!</v>
      </c>
      <c r="E36" s="666"/>
    </row>
    <row r="37" ht="39.6" customHeight="1" spans="1:4" x14ac:dyDescent="0.25">
      <c r="A37" s="812" t="s">
        <v>580</v>
      </c>
      <c r="B37" s="841">
        <f>+F8</f>
        <v>0</v>
      </c>
      <c r="C37" s="842"/>
      <c r="D37" s="843"/>
    </row>
    <row r="38" ht="13.15" customHeight="1" spans="1:4" x14ac:dyDescent="0.25">
      <c r="A38" s="812" t="s">
        <v>581</v>
      </c>
      <c r="B38" s="844" t="e">
        <f>+IF(C38&lt;0.85,"GOOD", IF(C38&gt;0.9, "NO", "Potential Problem"))</f>
        <v>#DIV/0!</v>
      </c>
      <c r="C38" s="845" t="e">
        <f>+(B37/B36)</f>
        <v>#DIV/0!</v>
      </c>
      <c r="D38" s="9" t="s">
        <v>582</v>
      </c>
    </row>
    <row r="39" ht="26.45" customHeight="1" spans="1:2" x14ac:dyDescent="0.25">
      <c r="A39" s="834"/>
      <c r="B39" s="310"/>
    </row>
    <row r="40" ht="13.15" customHeight="1" spans="1:1" x14ac:dyDescent="0.25">
      <c r="A40" s="846" t="s">
        <v>583</v>
      </c>
    </row>
    <row r="41" ht="13.5" customHeight="1" spans="1:1" x14ac:dyDescent="0.25">
      <c r="A41" s="847"/>
    </row>
    <row r="42" ht="13.15" customHeight="1" spans="1:2" x14ac:dyDescent="0.25">
      <c r="A42" s="848" t="s">
        <v>584</v>
      </c>
      <c r="B42" s="849"/>
    </row>
    <row r="43" ht="13.5" customHeight="1" spans="1:2" x14ac:dyDescent="0.25">
      <c r="A43" s="850" t="s">
        <v>585</v>
      </c>
      <c r="B43" s="851"/>
    </row>
    <row r="44" ht="13.5" customHeight="1" spans="1:2" x14ac:dyDescent="0.25">
      <c r="A44" s="850" t="s">
        <v>586</v>
      </c>
      <c r="B44" s="852">
        <f>+B37+B43</f>
        <v>0</v>
      </c>
    </row>
    <row r="45" ht="26.25" customHeight="1" spans="1:2" x14ac:dyDescent="0.25">
      <c r="A45" s="850" t="s">
        <v>587</v>
      </c>
      <c r="B45" s="837">
        <f>+B44/(1-P25)</f>
        <v>0</v>
      </c>
    </row>
    <row r="46" ht="26.25" customHeight="1" spans="1:2" x14ac:dyDescent="0.25">
      <c r="A46" s="848" t="s">
        <v>588</v>
      </c>
      <c r="B46" s="849"/>
    </row>
    <row r="47" ht="64.5" customHeight="1" spans="1:2" x14ac:dyDescent="0.25">
      <c r="A47" s="850" t="s">
        <v>589</v>
      </c>
      <c r="B47" s="853">
        <v>0</v>
      </c>
    </row>
    <row r="48" ht="26.25" customHeight="1" spans="1:2" x14ac:dyDescent="0.25">
      <c r="A48" s="854" t="s">
        <v>590</v>
      </c>
      <c r="B48" s="853">
        <v>0</v>
      </c>
    </row>
    <row r="49" ht="26.25" customHeight="1" spans="1:2" x14ac:dyDescent="0.25">
      <c r="A49" s="854" t="s">
        <v>591</v>
      </c>
      <c r="B49" s="853">
        <v>0</v>
      </c>
    </row>
    <row r="50" ht="26.25" customHeight="1" spans="1:3" x14ac:dyDescent="0.25">
      <c r="A50" s="854" t="s">
        <v>592</v>
      </c>
      <c r="C50" s="853">
        <v>0</v>
      </c>
    </row>
    <row r="51" ht="26.25" customHeight="1" spans="1:2" x14ac:dyDescent="0.25">
      <c r="A51" s="850" t="s">
        <v>593</v>
      </c>
      <c r="B51" s="817">
        <f>+((F4+B47)*(F5+B48)*(F6+B49)*F7)+C50</f>
        <v>0</v>
      </c>
    </row>
    <row r="52" ht="26.25" customHeight="1" spans="1:4" x14ac:dyDescent="0.25">
      <c r="A52" s="854" t="s">
        <v>594</v>
      </c>
      <c r="B52" s="855" t="e">
        <f>+((B51/F7)*P32*P19)/P30</f>
        <v>#DIV/0!</v>
      </c>
      <c r="C52" s="102" t="s">
        <v>595</v>
      </c>
      <c r="D52" s="856" t="e">
        <f>+B52*P30</f>
        <v>#DIV/0!</v>
      </c>
    </row>
    <row r="53" ht="13.5" customHeight="1" spans="1:2" x14ac:dyDescent="0.25">
      <c r="A53" s="857" t="s">
        <v>581</v>
      </c>
      <c r="B53" s="858" t="e">
        <f>+IF(B44&lt;B52,"OK","NO")</f>
        <v>#DIV/0!</v>
      </c>
    </row>
    <row r="54" ht="26.25" customHeight="1" spans="1:2" x14ac:dyDescent="0.25">
      <c r="A54" s="859" t="s">
        <v>596</v>
      </c>
      <c r="B54" s="860" t="e">
        <f>+B45/B52</f>
        <v>#DIV/0!</v>
      </c>
    </row>
  </sheetData>
  <mergeCells count="4">
    <mergeCell ref="A3:D3"/>
    <mergeCell ref="G5:O5"/>
    <mergeCell ref="H7:O7"/>
    <mergeCell ref="H9:O9"/>
  </mergeCells>
  <conditionalFormatting sqref="B38">
    <cfRule type="cellIs" dxfId="6" priority="1" operator="equal">
      <formula>"GOOD"</formula>
    </cfRule>
    <cfRule type="cellIs" dxfId="7" priority="2" operator="equal">
      <formula>"Potential Problem"</formula>
    </cfRule>
    <cfRule type="cellIs" dxfId="8" priority="3" operator="equal">
      <formula>"NO"</formula>
    </cfRule>
  </conditionalFormatting>
  <conditionalFormatting sqref="C38">
    <cfRule type="cellIs" dxfId="9" priority="4" operator="lessThan">
      <formula>0.85</formula>
    </cfRule>
    <cfRule type="cellIs" dxfId="10" priority="5" operator="greaterThan">
      <formula>0.95</formula>
    </cfRule>
    <cfRule type="cellIs" dxfId="11" priority="6" operator="between">
      <formula>0.86</formula>
      <formula>0.94</formula>
    </cfRule>
  </conditionalFormatting>
  <pageMargins left="0" right="0" top="0" bottom="0" header="0" footer="0"/>
  <pageSetup orientation="landscape" horizontalDpi="4294967295" verticalDpi="0" scale="76" fitToWidth="1" fitToHeight="0" firstPageNumber="1" useFirstPageNumber="1" copies="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9"/>
  <sheetViews>
    <sheetView workbookViewId="0" zoomScale="100" zoomScaleNormal="100"/>
  </sheetViews>
  <sheetFormatPr defaultRowHeight="12.75" outlineLevelRow="0" outlineLevelCol="0" x14ac:dyDescent="0" customHeight="1"/>
  <cols>
    <col min="1" max="1" width="2.7109375" customWidth="1"/>
    <col min="3" max="16" width="6.7109375" customWidth="1"/>
    <col min="17" max="17" width="10.7109375" customWidth="1"/>
    <col min="18" max="18" width="2.7109375" customWidth="1"/>
  </cols>
  <sheetData>
    <row r="1" ht="24" customHeight="1" spans="1:7" x14ac:dyDescent="0.25">
      <c r="A1" s="236" t="s">
        <v>439</v>
      </c>
      <c r="B1" s="236"/>
      <c r="D1" s="113"/>
      <c r="G1" s="655" t="s">
        <v>75</v>
      </c>
    </row>
    <row r="2" spans="1:18" x14ac:dyDescent="0.25">
      <c r="A2" s="336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8"/>
    </row>
    <row r="3" ht="13.5" customHeight="1" spans="1:18" x14ac:dyDescent="0.25">
      <c r="A3" s="342"/>
      <c r="B3" s="236" t="s">
        <v>208</v>
      </c>
      <c r="C3" s="5"/>
      <c r="D3" s="656"/>
      <c r="E3" s="656"/>
      <c r="F3" s="656"/>
      <c r="G3" s="656"/>
      <c r="H3" s="656"/>
      <c r="I3" s="112" t="s">
        <v>440</v>
      </c>
      <c r="J3" s="112"/>
      <c r="K3" s="112"/>
      <c r="L3" s="656"/>
      <c r="M3" s="656"/>
      <c r="N3" s="656"/>
      <c r="O3" s="656"/>
      <c r="P3" s="104" t="s">
        <v>441</v>
      </c>
      <c r="Q3" s="275"/>
      <c r="R3" s="340"/>
    </row>
    <row r="4" spans="1:18" x14ac:dyDescent="0.25">
      <c r="A4" s="34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57" t="s">
        <v>442</v>
      </c>
      <c r="R4" s="340"/>
    </row>
    <row r="5" spans="1:18" x14ac:dyDescent="0.25">
      <c r="A5" s="342"/>
      <c r="B5" s="301"/>
      <c r="C5" s="301"/>
      <c r="D5" s="301"/>
      <c r="E5" s="301"/>
      <c r="F5" s="5"/>
      <c r="G5" s="5"/>
      <c r="H5" s="5"/>
      <c r="I5" s="658" t="s">
        <v>443</v>
      </c>
      <c r="J5" s="658"/>
      <c r="K5" s="658"/>
      <c r="L5" s="5"/>
      <c r="M5" s="5"/>
      <c r="N5" s="5"/>
      <c r="O5" s="5"/>
      <c r="P5" s="5"/>
      <c r="Q5" s="5"/>
      <c r="R5" s="340"/>
    </row>
    <row r="6" ht="13.5" customHeight="1" spans="1:18" x14ac:dyDescent="0.25">
      <c r="A6" s="342"/>
      <c r="B6" s="301" t="s">
        <v>444</v>
      </c>
      <c r="C6" s="301"/>
      <c r="D6" s="477"/>
      <c r="E6" s="347"/>
      <c r="F6" s="347"/>
      <c r="G6" s="347"/>
      <c r="H6" s="5"/>
      <c r="I6" s="658"/>
      <c r="J6" s="658"/>
      <c r="K6" s="658"/>
      <c r="L6" s="542" t="s">
        <v>1</v>
      </c>
      <c r="M6" s="542"/>
      <c r="N6" s="542"/>
      <c r="O6" s="542"/>
      <c r="P6" s="302" t="s">
        <v>445</v>
      </c>
      <c r="Q6" s="659" t="s">
        <v>1</v>
      </c>
      <c r="R6" s="340"/>
    </row>
    <row r="7" spans="1:18" x14ac:dyDescent="0.25">
      <c r="A7" s="34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340"/>
    </row>
    <row r="8" ht="13.5" customHeight="1" spans="1:18" x14ac:dyDescent="0.25">
      <c r="A8" s="342"/>
      <c r="B8" s="236" t="s">
        <v>446</v>
      </c>
      <c r="C8" s="5"/>
      <c r="D8" s="5"/>
      <c r="E8" s="5"/>
      <c r="F8" s="5"/>
      <c r="G8" s="660"/>
      <c r="H8" s="656"/>
      <c r="I8" s="656"/>
      <c r="J8" s="656"/>
      <c r="K8" s="656"/>
      <c r="L8" s="656"/>
      <c r="M8" s="656"/>
      <c r="N8" s="656"/>
      <c r="O8" s="656"/>
      <c r="P8" s="302" t="s">
        <v>445</v>
      </c>
      <c r="Q8" s="661"/>
      <c r="R8" s="340"/>
    </row>
    <row r="9" spans="1:18" x14ac:dyDescent="0.25">
      <c r="A9" s="34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340"/>
    </row>
    <row r="10" ht="13.5" customHeight="1" spans="1:18" x14ac:dyDescent="0.25">
      <c r="A10" s="342"/>
      <c r="B10" s="236" t="s">
        <v>447</v>
      </c>
      <c r="C10" s="5"/>
      <c r="D10" s="5"/>
      <c r="E10" s="656"/>
      <c r="F10" s="656"/>
      <c r="G10" s="656"/>
      <c r="H10" s="656"/>
      <c r="I10" s="4"/>
      <c r="J10" s="236" t="s">
        <v>448</v>
      </c>
      <c r="K10" s="5"/>
      <c r="L10" s="5"/>
      <c r="M10" s="660"/>
      <c r="N10" s="660"/>
      <c r="O10" s="662" t="s">
        <v>449</v>
      </c>
      <c r="P10" s="662"/>
      <c r="Q10" s="663"/>
      <c r="R10" s="340"/>
    </row>
    <row r="11" spans="1:18" x14ac:dyDescent="0.25">
      <c r="A11" s="342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340"/>
    </row>
    <row r="12" ht="13.5" customHeight="1" spans="1:18" x14ac:dyDescent="0.25">
      <c r="A12" s="342"/>
      <c r="B12" s="236" t="s">
        <v>450</v>
      </c>
      <c r="C12" s="5"/>
      <c r="D12" s="5"/>
      <c r="E12" s="660"/>
      <c r="F12" s="656"/>
      <c r="G12" s="656"/>
      <c r="H12" s="664" t="s">
        <v>451</v>
      </c>
      <c r="I12" s="113"/>
      <c r="J12" s="113"/>
      <c r="K12" s="5"/>
      <c r="L12" s="665"/>
      <c r="M12" s="542"/>
      <c r="N12" s="542"/>
      <c r="O12" s="542"/>
      <c r="P12" s="302" t="s">
        <v>445</v>
      </c>
      <c r="Q12" s="661"/>
      <c r="R12" s="340"/>
    </row>
    <row r="13" spans="1:18" x14ac:dyDescent="0.25">
      <c r="A13" s="342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340"/>
    </row>
    <row r="14" spans="1:18" x14ac:dyDescent="0.25">
      <c r="A14" s="342"/>
      <c r="B14" s="666" t="s">
        <v>452</v>
      </c>
      <c r="C14" s="5"/>
      <c r="D14" s="5"/>
      <c r="E14" s="5"/>
      <c r="F14" s="5"/>
      <c r="G14" s="5"/>
      <c r="H14" s="5"/>
      <c r="I14" s="5"/>
      <c r="J14" s="667" t="s">
        <v>453</v>
      </c>
      <c r="K14" s="5"/>
      <c r="L14" s="5"/>
      <c r="M14" s="5"/>
      <c r="N14" s="5"/>
      <c r="O14" s="5"/>
      <c r="P14" s="5"/>
      <c r="Q14" s="5"/>
      <c r="R14" s="340"/>
    </row>
    <row r="15" spans="1:18" x14ac:dyDescent="0.25">
      <c r="A15" s="34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340"/>
    </row>
    <row r="16" ht="13.5" customHeight="1" spans="1:18" x14ac:dyDescent="0.25">
      <c r="A16" s="342"/>
      <c r="B16" s="656" t="s">
        <v>1</v>
      </c>
      <c r="C16" s="656"/>
      <c r="D16" s="656"/>
      <c r="E16" s="656"/>
      <c r="F16" s="656"/>
      <c r="G16" s="656"/>
      <c r="H16" s="656"/>
      <c r="I16" s="5"/>
      <c r="J16" s="477"/>
      <c r="K16" s="656"/>
      <c r="L16" s="656"/>
      <c r="M16" s="656"/>
      <c r="N16" s="656"/>
      <c r="O16" s="656"/>
      <c r="P16" s="656"/>
      <c r="Q16" s="5"/>
      <c r="R16" s="340"/>
    </row>
    <row r="17" spans="1:18" x14ac:dyDescent="0.25">
      <c r="A17" s="342"/>
      <c r="B17" s="236" t="s">
        <v>454</v>
      </c>
      <c r="C17" s="5"/>
      <c r="D17" s="5"/>
      <c r="E17" s="5"/>
      <c r="F17" s="5"/>
      <c r="G17" s="236" t="s">
        <v>1</v>
      </c>
      <c r="H17" s="5"/>
      <c r="I17" s="5"/>
      <c r="J17" s="103" t="s">
        <v>455</v>
      </c>
      <c r="K17" s="5"/>
      <c r="L17" s="5"/>
      <c r="M17" s="5"/>
      <c r="N17" s="5"/>
      <c r="O17" s="5"/>
      <c r="P17" s="5"/>
      <c r="Q17" s="5"/>
      <c r="R17" s="340"/>
    </row>
    <row r="18" spans="1:18" x14ac:dyDescent="0.25">
      <c r="A18" s="34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40"/>
    </row>
    <row r="19" ht="13.5" customHeight="1" spans="1:18" x14ac:dyDescent="0.25">
      <c r="A19" s="342"/>
      <c r="B19" s="656" t="s">
        <v>1</v>
      </c>
      <c r="C19" s="656"/>
      <c r="D19" s="656"/>
      <c r="E19" s="656"/>
      <c r="F19" s="656"/>
      <c r="G19" s="656"/>
      <c r="H19" s="656"/>
      <c r="I19" s="5"/>
      <c r="J19" s="656" t="s">
        <v>1</v>
      </c>
      <c r="K19" s="656"/>
      <c r="L19" s="656"/>
      <c r="M19" s="656"/>
      <c r="N19" s="656"/>
      <c r="O19" s="656"/>
      <c r="P19" s="656"/>
      <c r="Q19" s="113" t="s">
        <v>1</v>
      </c>
      <c r="R19" s="340"/>
    </row>
    <row r="20" spans="1:18" x14ac:dyDescent="0.25">
      <c r="A20" s="342"/>
      <c r="B20" s="236" t="s">
        <v>456</v>
      </c>
      <c r="C20" s="5"/>
      <c r="D20" s="5"/>
      <c r="E20" s="5"/>
      <c r="F20" s="5"/>
      <c r="G20" s="5"/>
      <c r="H20" s="5"/>
      <c r="I20" s="5"/>
      <c r="J20" s="103" t="s">
        <v>457</v>
      </c>
      <c r="K20" s="5"/>
      <c r="L20" s="5"/>
      <c r="M20" s="5"/>
      <c r="N20" s="5"/>
      <c r="O20" s="5"/>
      <c r="P20" s="5"/>
      <c r="Q20" s="5"/>
      <c r="R20" s="340"/>
    </row>
    <row r="21" spans="1:18" x14ac:dyDescent="0.25">
      <c r="A21" s="342"/>
      <c r="B21" s="5"/>
      <c r="C21" s="5"/>
      <c r="D21" s="5"/>
      <c r="E21" s="5"/>
      <c r="F21" s="5"/>
      <c r="G21" s="5"/>
      <c r="H21" s="5"/>
      <c r="I21" s="5"/>
      <c r="J21" s="236"/>
      <c r="K21" s="5"/>
      <c r="L21" s="5"/>
      <c r="M21" s="254"/>
      <c r="N21" s="254"/>
      <c r="O21" s="254"/>
      <c r="P21" s="254"/>
      <c r="Q21" s="254"/>
      <c r="R21" s="340"/>
    </row>
    <row r="22" ht="13.5" customHeight="1" spans="1:18" x14ac:dyDescent="0.25">
      <c r="A22" s="342"/>
      <c r="B22" s="656" t="s">
        <v>1</v>
      </c>
      <c r="C22" s="656"/>
      <c r="D22" s="656"/>
      <c r="E22" s="656"/>
      <c r="F22" s="542" t="s">
        <v>1</v>
      </c>
      <c r="G22" s="668" t="s">
        <v>1</v>
      </c>
      <c r="H22" s="668"/>
      <c r="I22" s="5"/>
      <c r="J22" s="656"/>
      <c r="K22" s="656"/>
      <c r="L22" s="656"/>
      <c r="M22" s="656"/>
      <c r="N22" s="656"/>
      <c r="O22" s="656"/>
      <c r="P22" s="656"/>
      <c r="Q22" s="5"/>
      <c r="R22" s="340"/>
    </row>
    <row r="23" spans="1:18" x14ac:dyDescent="0.25">
      <c r="A23" s="342"/>
      <c r="B23" s="236" t="s">
        <v>458</v>
      </c>
      <c r="C23" s="5"/>
      <c r="D23" s="5"/>
      <c r="E23" s="5"/>
      <c r="F23" s="236" t="s">
        <v>459</v>
      </c>
      <c r="G23" s="5"/>
      <c r="H23" s="302" t="s">
        <v>460</v>
      </c>
      <c r="I23" s="5"/>
      <c r="J23" s="236" t="s">
        <v>461</v>
      </c>
      <c r="K23" s="5"/>
      <c r="L23" s="5"/>
      <c r="M23" s="5" t="s">
        <v>1</v>
      </c>
      <c r="N23" s="5"/>
      <c r="O23" s="5"/>
      <c r="P23" s="5"/>
      <c r="Q23" s="5"/>
      <c r="R23" s="340"/>
    </row>
    <row r="24" spans="1:18" x14ac:dyDescent="0.25">
      <c r="A24" s="34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340"/>
    </row>
    <row r="25" spans="1:18" x14ac:dyDescent="0.25">
      <c r="A25" s="342"/>
      <c r="B25" s="666" t="s">
        <v>462</v>
      </c>
      <c r="C25" s="666"/>
      <c r="D25" s="666" t="s">
        <v>463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340"/>
    </row>
    <row r="26" spans="1:18" x14ac:dyDescent="0.25">
      <c r="A26" s="342"/>
      <c r="B26" s="666"/>
      <c r="C26" s="666"/>
      <c r="D26" s="66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340"/>
    </row>
    <row r="27" spans="1:18" x14ac:dyDescent="0.25">
      <c r="A27" s="342"/>
      <c r="B27" s="666"/>
      <c r="C27" s="666"/>
      <c r="D27" s="666" t="s">
        <v>464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340"/>
    </row>
    <row r="28" spans="1:18" x14ac:dyDescent="0.25">
      <c r="A28" s="34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340"/>
    </row>
    <row r="29" spans="1:18" x14ac:dyDescent="0.25">
      <c r="A29" s="342"/>
      <c r="B29" s="666" t="s">
        <v>465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340"/>
    </row>
    <row r="30" spans="1:18" x14ac:dyDescent="0.25">
      <c r="A30" s="342"/>
      <c r="B30" s="5"/>
      <c r="C30" s="236" t="s">
        <v>466</v>
      </c>
      <c r="D30" s="5"/>
      <c r="E30" s="5"/>
      <c r="F30" s="5"/>
      <c r="G30" s="5"/>
      <c r="H30" s="5"/>
      <c r="I30" s="5"/>
      <c r="J30" s="5"/>
      <c r="K30" s="5"/>
      <c r="L30" s="236" t="s">
        <v>467</v>
      </c>
      <c r="M30" s="5"/>
      <c r="N30" s="5"/>
      <c r="O30" s="5"/>
      <c r="P30" s="5"/>
      <c r="Q30" s="5"/>
      <c r="R30" s="340"/>
    </row>
    <row r="31" spans="1:18" x14ac:dyDescent="0.25">
      <c r="A31" s="342"/>
      <c r="B31" s="5"/>
      <c r="C31" s="236" t="s">
        <v>468</v>
      </c>
      <c r="D31" s="5"/>
      <c r="E31" s="5"/>
      <c r="F31" s="5"/>
      <c r="G31" s="5"/>
      <c r="H31" s="5"/>
      <c r="I31" s="5"/>
      <c r="J31" s="5"/>
      <c r="K31" s="5"/>
      <c r="L31" s="236" t="s">
        <v>469</v>
      </c>
      <c r="M31" s="5"/>
      <c r="N31" s="5"/>
      <c r="O31" s="5"/>
      <c r="P31" s="5"/>
      <c r="Q31" s="5"/>
      <c r="R31" s="340"/>
    </row>
    <row r="32" spans="1:18" x14ac:dyDescent="0.25">
      <c r="A32" s="342"/>
      <c r="B32" s="5"/>
      <c r="C32" s="236" t="s">
        <v>470</v>
      </c>
      <c r="D32" s="5"/>
      <c r="E32" s="5"/>
      <c r="F32" s="5"/>
      <c r="G32" s="5"/>
      <c r="H32" s="5"/>
      <c r="I32" s="5"/>
      <c r="J32" s="5"/>
      <c r="K32" s="5"/>
      <c r="L32" s="236" t="s">
        <v>471</v>
      </c>
      <c r="M32" s="5"/>
      <c r="N32" s="5"/>
      <c r="O32" s="5"/>
      <c r="P32" s="5"/>
      <c r="Q32" s="5"/>
      <c r="R32" s="340"/>
    </row>
    <row r="33" spans="1:18" x14ac:dyDescent="0.25">
      <c r="A33" s="342"/>
      <c r="B33" s="5"/>
      <c r="C33" s="236" t="s">
        <v>472</v>
      </c>
      <c r="D33" s="5"/>
      <c r="E33" s="5"/>
      <c r="F33" s="5"/>
      <c r="G33" s="5"/>
      <c r="H33" s="5"/>
      <c r="I33" s="5"/>
      <c r="J33" s="5"/>
      <c r="K33" s="5"/>
      <c r="L33" s="236" t="s">
        <v>473</v>
      </c>
      <c r="M33" s="5"/>
      <c r="N33" s="5"/>
      <c r="O33" s="5"/>
      <c r="P33" s="5"/>
      <c r="Q33" s="5"/>
      <c r="R33" s="340"/>
    </row>
    <row r="34" spans="1:18" x14ac:dyDescent="0.25">
      <c r="A34" s="342"/>
      <c r="B34" s="5"/>
      <c r="C34" s="236" t="s">
        <v>474</v>
      </c>
      <c r="D34" s="5"/>
      <c r="E34" s="5"/>
      <c r="F34" s="5"/>
      <c r="G34" s="5"/>
      <c r="H34" s="5"/>
      <c r="I34" s="5"/>
      <c r="J34" s="5"/>
      <c r="K34" s="5"/>
      <c r="L34" s="236" t="s">
        <v>475</v>
      </c>
      <c r="M34" s="5"/>
      <c r="N34" s="5"/>
      <c r="O34" s="5"/>
      <c r="P34" s="5"/>
      <c r="Q34" s="5"/>
      <c r="R34" s="340"/>
    </row>
    <row r="35" ht="13.5" customHeight="1" spans="1:18" x14ac:dyDescent="0.25">
      <c r="A35" s="342"/>
      <c r="B35" s="5"/>
      <c r="C35" s="5"/>
      <c r="D35" s="5"/>
      <c r="E35" s="5"/>
      <c r="F35" s="5"/>
      <c r="G35" s="5"/>
      <c r="H35" s="5"/>
      <c r="I35" s="5"/>
      <c r="J35" s="5"/>
      <c r="K35" s="5"/>
      <c r="L35" s="669"/>
      <c r="M35" s="669"/>
      <c r="N35" s="669"/>
      <c r="O35" s="669"/>
      <c r="P35" s="669"/>
      <c r="Q35" s="5"/>
      <c r="R35" s="340"/>
    </row>
    <row r="36" ht="13.5" customHeight="1" spans="1:18" x14ac:dyDescent="0.25">
      <c r="A36" s="342"/>
      <c r="B36" s="666" t="s">
        <v>476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40"/>
    </row>
    <row r="37" spans="1:18" x14ac:dyDescent="0.25">
      <c r="A37" s="342"/>
      <c r="B37" s="5"/>
      <c r="C37" s="236" t="s">
        <v>477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340"/>
    </row>
    <row r="38" spans="1:18" x14ac:dyDescent="0.25">
      <c r="A38" s="342"/>
      <c r="B38" s="5"/>
      <c r="C38" s="236" t="s">
        <v>478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340"/>
    </row>
    <row r="39" spans="1:18" x14ac:dyDescent="0.25">
      <c r="A39" s="342"/>
      <c r="B39" s="5"/>
      <c r="C39" s="236" t="s">
        <v>479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236"/>
      <c r="P39" s="5"/>
      <c r="Q39" s="5"/>
      <c r="R39" s="340"/>
    </row>
    <row r="40" spans="1:18" x14ac:dyDescent="0.25">
      <c r="A40" s="342"/>
      <c r="B40" s="5"/>
      <c r="C40" s="236" t="s">
        <v>480</v>
      </c>
      <c r="D40" s="5"/>
      <c r="E40" s="5"/>
      <c r="F40" s="5"/>
      <c r="G40" s="5"/>
      <c r="H40" s="5"/>
      <c r="I40" s="5"/>
      <c r="J40" s="5"/>
      <c r="K40" s="5"/>
      <c r="L40" s="236"/>
      <c r="M40" s="5"/>
      <c r="N40" s="5"/>
      <c r="O40" s="5"/>
      <c r="P40" s="5"/>
      <c r="Q40" s="5"/>
      <c r="R40" s="340"/>
    </row>
    <row r="41" ht="17.45" customHeight="1" spans="1:18" x14ac:dyDescent="0.25">
      <c r="A41" s="342"/>
      <c r="B41" s="5"/>
      <c r="C41" s="5"/>
      <c r="D41" s="103" t="s">
        <v>481</v>
      </c>
      <c r="E41" s="103" t="s">
        <v>482</v>
      </c>
      <c r="F41" s="103" t="s">
        <v>483</v>
      </c>
      <c r="G41" s="103" t="s">
        <v>484</v>
      </c>
      <c r="H41" s="103" t="s">
        <v>485</v>
      </c>
      <c r="I41" s="103" t="s">
        <v>486</v>
      </c>
      <c r="J41" s="103" t="s">
        <v>487</v>
      </c>
      <c r="K41" s="103" t="s">
        <v>488</v>
      </c>
      <c r="L41" s="103" t="s">
        <v>489</v>
      </c>
      <c r="M41" s="103"/>
      <c r="N41" s="5"/>
      <c r="O41" s="5"/>
      <c r="P41" s="5"/>
      <c r="Q41" s="5"/>
      <c r="R41" s="340"/>
    </row>
    <row r="42" spans="1:18" x14ac:dyDescent="0.25">
      <c r="A42" s="342"/>
      <c r="B42" s="5"/>
      <c r="C42" s="236" t="s">
        <v>490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40"/>
    </row>
    <row r="43" spans="1:18" x14ac:dyDescent="0.25">
      <c r="A43" s="342"/>
      <c r="B43" s="5"/>
      <c r="C43" s="236" t="s">
        <v>491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340"/>
    </row>
    <row r="44" spans="1:18" x14ac:dyDescent="0.25">
      <c r="A44" s="34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340"/>
    </row>
    <row r="45" spans="1:18" x14ac:dyDescent="0.25">
      <c r="A45" s="342"/>
      <c r="B45" s="666" t="s">
        <v>492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340"/>
    </row>
    <row r="46" spans="1:18" x14ac:dyDescent="0.25">
      <c r="A46" s="342"/>
      <c r="B46" s="236" t="s">
        <v>493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340"/>
    </row>
    <row r="47" spans="1:18" x14ac:dyDescent="0.25">
      <c r="A47" s="342"/>
      <c r="B47" s="236" t="s">
        <v>494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340"/>
    </row>
    <row r="48" spans="1:18" x14ac:dyDescent="0.25">
      <c r="A48" s="342"/>
      <c r="B48" s="236" t="s">
        <v>495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340"/>
    </row>
    <row r="49" spans="1:18" x14ac:dyDescent="0.25">
      <c r="A49" s="34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340"/>
    </row>
    <row r="50" ht="13.5" customHeight="1" spans="1:18" x14ac:dyDescent="0.25">
      <c r="A50" s="342"/>
      <c r="B50" s="666" t="s">
        <v>496</v>
      </c>
      <c r="C50" s="5"/>
      <c r="D50" s="5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340"/>
    </row>
    <row r="51" ht="13.5" customHeight="1" spans="1:18" x14ac:dyDescent="0.25">
      <c r="A51" s="342"/>
      <c r="B51" s="666"/>
      <c r="C51" s="5"/>
      <c r="D51" s="5"/>
      <c r="E51" s="670"/>
      <c r="F51" s="670"/>
      <c r="G51" s="670"/>
      <c r="H51" s="670"/>
      <c r="I51" s="670"/>
      <c r="J51" s="670"/>
      <c r="K51" s="670"/>
      <c r="L51" s="670"/>
      <c r="M51" s="670"/>
      <c r="N51" s="670"/>
      <c r="O51" s="670"/>
      <c r="P51" s="670"/>
      <c r="Q51" s="670"/>
      <c r="R51" s="340"/>
    </row>
    <row r="52" spans="1:18" x14ac:dyDescent="0.25">
      <c r="A52" s="34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340"/>
    </row>
    <row r="53" ht="13.5" customHeight="1" spans="1:18" x14ac:dyDescent="0.25">
      <c r="A53" s="342"/>
      <c r="B53" s="236" t="s">
        <v>497</v>
      </c>
      <c r="C53" s="5"/>
      <c r="D53" s="671"/>
      <c r="E53" s="254"/>
      <c r="F53" s="254"/>
      <c r="G53" s="660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340"/>
    </row>
    <row r="54" spans="1:18" x14ac:dyDescent="0.25">
      <c r="A54" s="34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340"/>
    </row>
    <row r="55" ht="13.5" customHeight="1" spans="1:18" x14ac:dyDescent="0.25">
      <c r="A55" s="342"/>
      <c r="B55" s="236" t="s">
        <v>498</v>
      </c>
      <c r="C55" s="5"/>
      <c r="D55" s="5"/>
      <c r="E55" s="5"/>
      <c r="F55" s="660"/>
      <c r="G55" s="660"/>
      <c r="H55" s="660"/>
      <c r="I55" s="660"/>
      <c r="J55" s="660"/>
      <c r="K55" s="660"/>
      <c r="L55" s="660"/>
      <c r="M55" s="660"/>
      <c r="N55" s="660"/>
      <c r="O55" s="664"/>
      <c r="P55" s="672" t="s">
        <v>23</v>
      </c>
      <c r="Q55" s="661"/>
      <c r="R55" s="340"/>
    </row>
    <row r="56" spans="1:18" x14ac:dyDescent="0.25">
      <c r="A56" s="342"/>
      <c r="B56" s="236"/>
      <c r="C56" s="5"/>
      <c r="D56" s="5"/>
      <c r="E56" s="5"/>
      <c r="F56" s="254"/>
      <c r="G56" s="254"/>
      <c r="H56" s="254"/>
      <c r="I56" s="254"/>
      <c r="J56" s="254"/>
      <c r="K56" s="254"/>
      <c r="L56" s="254"/>
      <c r="M56" s="254"/>
      <c r="N56" s="254"/>
      <c r="O56" s="664"/>
      <c r="P56" s="672"/>
      <c r="Q56" s="673"/>
      <c r="R56" s="340"/>
    </row>
    <row r="57" ht="13.5" customHeight="1" spans="1:18" x14ac:dyDescent="0.25">
      <c r="A57" s="342"/>
      <c r="B57" s="236" t="s">
        <v>499</v>
      </c>
      <c r="C57" s="656"/>
      <c r="D57" s="656"/>
      <c r="E57" s="656"/>
      <c r="F57" s="656"/>
      <c r="G57" s="656"/>
      <c r="H57" s="656"/>
      <c r="I57" s="674" t="s">
        <v>500</v>
      </c>
      <c r="J57" s="113"/>
      <c r="K57" s="675"/>
      <c r="L57" s="675"/>
      <c r="M57" s="675"/>
      <c r="N57" s="675"/>
      <c r="O57" s="664" t="s">
        <v>501</v>
      </c>
      <c r="P57" s="676"/>
      <c r="Q57" s="677"/>
      <c r="R57" s="340"/>
    </row>
    <row r="58" spans="1:18" x14ac:dyDescent="0.25">
      <c r="A58" s="342"/>
      <c r="B58" s="236"/>
      <c r="C58" s="5"/>
      <c r="D58" s="5"/>
      <c r="E58" s="5"/>
      <c r="F58" s="254"/>
      <c r="G58" s="254"/>
      <c r="H58" s="254"/>
      <c r="I58" s="254"/>
      <c r="J58" s="254"/>
      <c r="K58" s="254"/>
      <c r="L58" s="254"/>
      <c r="M58" s="254"/>
      <c r="N58" s="254"/>
      <c r="O58" s="664"/>
      <c r="P58" s="672"/>
      <c r="Q58" s="673"/>
      <c r="R58" s="340"/>
    </row>
    <row r="59" ht="13.5" customHeight="1" spans="1:18" x14ac:dyDescent="0.25">
      <c r="A59" s="342"/>
      <c r="B59" s="236" t="s">
        <v>238</v>
      </c>
      <c r="C59" s="656"/>
      <c r="D59" s="656"/>
      <c r="E59" s="656"/>
      <c r="F59" s="656"/>
      <c r="G59" s="656"/>
      <c r="H59" s="656"/>
      <c r="I59" s="674" t="s">
        <v>502</v>
      </c>
      <c r="J59" s="674"/>
      <c r="K59" s="660"/>
      <c r="L59" s="656"/>
      <c r="M59" s="656"/>
      <c r="N59" s="656"/>
      <c r="O59" s="656"/>
      <c r="P59" s="656"/>
      <c r="Q59" s="656"/>
      <c r="R59" s="340"/>
    </row>
    <row r="60" spans="1:18" x14ac:dyDescent="0.25">
      <c r="A60" s="513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514"/>
    </row>
    <row r="61" spans="1:18" x14ac:dyDescent="0.25">
      <c r="A61" s="678" t="s">
        <v>503</v>
      </c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80"/>
    </row>
    <row r="62" spans="1:18" x14ac:dyDescent="0.25">
      <c r="A62" s="342"/>
      <c r="B62" s="236" t="s">
        <v>504</v>
      </c>
      <c r="C62" s="306"/>
      <c r="D62" s="306"/>
      <c r="E62" s="306"/>
      <c r="F62" s="306"/>
      <c r="G62" s="306"/>
      <c r="H62" s="306"/>
      <c r="I62" s="236"/>
      <c r="J62" s="5"/>
      <c r="K62" s="272"/>
      <c r="L62" s="5"/>
      <c r="M62" s="5"/>
      <c r="N62" s="5"/>
      <c r="O62" s="5"/>
      <c r="P62" s="5"/>
      <c r="Q62" s="5"/>
      <c r="R62" s="340"/>
    </row>
    <row r="63" spans="1:18" x14ac:dyDescent="0.25">
      <c r="A63" s="342"/>
      <c r="B63" s="236"/>
      <c r="C63" s="306"/>
      <c r="D63" s="306"/>
      <c r="E63" s="306"/>
      <c r="F63" s="306"/>
      <c r="G63" s="306"/>
      <c r="H63" s="306"/>
      <c r="I63" s="236"/>
      <c r="J63" s="5"/>
      <c r="K63" s="272" t="s">
        <v>505</v>
      </c>
      <c r="L63" s="5"/>
      <c r="M63" s="5"/>
      <c r="N63" s="5"/>
      <c r="O63" s="5"/>
      <c r="P63" s="5"/>
      <c r="Q63" s="5"/>
      <c r="R63" s="340"/>
    </row>
    <row r="64" ht="13.5" customHeight="1" spans="1:18" x14ac:dyDescent="0.25">
      <c r="A64" s="342"/>
      <c r="B64" s="5"/>
      <c r="C64" s="5"/>
      <c r="D64" s="5"/>
      <c r="E64" s="681"/>
      <c r="F64" s="5"/>
      <c r="G64" s="5"/>
      <c r="H64" s="5"/>
      <c r="I64" s="5"/>
      <c r="J64" s="5"/>
      <c r="K64" s="272"/>
      <c r="L64" s="656"/>
      <c r="M64" s="656"/>
      <c r="N64" s="656"/>
      <c r="O64" s="656"/>
      <c r="P64" s="656"/>
      <c r="Q64" s="656"/>
      <c r="R64" s="340"/>
    </row>
    <row r="65" ht="13.5" customHeight="1" spans="1:18" x14ac:dyDescent="0.25">
      <c r="A65" s="342"/>
      <c r="B65" s="236" t="s">
        <v>506</v>
      </c>
      <c r="C65" s="5"/>
      <c r="D65" s="660"/>
      <c r="E65" s="660"/>
      <c r="F65" s="660"/>
      <c r="G65" s="660"/>
      <c r="H65" s="664" t="s">
        <v>507</v>
      </c>
      <c r="I65" s="542"/>
      <c r="J65" s="682"/>
      <c r="K65" s="272"/>
      <c r="L65" s="670"/>
      <c r="M65" s="670"/>
      <c r="N65" s="670"/>
      <c r="O65" s="670"/>
      <c r="P65" s="670"/>
      <c r="Q65" s="670"/>
      <c r="R65" s="340"/>
    </row>
    <row r="66" ht="13.5" customHeight="1" spans="1:18" x14ac:dyDescent="0.25">
      <c r="A66" s="342"/>
      <c r="B66" s="236"/>
      <c r="C66" s="5"/>
      <c r="D66" s="254"/>
      <c r="E66" s="254"/>
      <c r="F66" s="254"/>
      <c r="G66" s="254"/>
      <c r="H66" s="664"/>
      <c r="I66" s="5"/>
      <c r="J66" s="5"/>
      <c r="K66" s="272"/>
      <c r="L66" s="656"/>
      <c r="M66" s="656"/>
      <c r="N66" s="656"/>
      <c r="O66" s="656"/>
      <c r="P66" s="656"/>
      <c r="Q66" s="656"/>
      <c r="R66" s="340"/>
    </row>
    <row r="67" ht="13.5" customHeight="1" spans="1:18" x14ac:dyDescent="0.25">
      <c r="A67" s="342"/>
      <c r="B67" s="236" t="s">
        <v>499</v>
      </c>
      <c r="C67" s="656"/>
      <c r="D67" s="656"/>
      <c r="E67" s="656"/>
      <c r="F67" s="656"/>
      <c r="G67" s="656"/>
      <c r="H67" s="664"/>
      <c r="I67" s="5"/>
      <c r="J67" s="5"/>
      <c r="K67" s="272"/>
      <c r="L67" s="656"/>
      <c r="M67" s="656"/>
      <c r="N67" s="656"/>
      <c r="O67" s="656"/>
      <c r="P67" s="656"/>
      <c r="Q67" s="656"/>
      <c r="R67" s="340"/>
    </row>
    <row r="68" ht="13.5" customHeight="1" spans="1:18" x14ac:dyDescent="0.25">
      <c r="A68" s="342"/>
      <c r="B68" s="683" t="s">
        <v>508</v>
      </c>
      <c r="C68" s="684" t="s">
        <v>509</v>
      </c>
      <c r="D68" s="684"/>
      <c r="E68" s="684"/>
      <c r="F68" s="254"/>
      <c r="G68" s="254"/>
      <c r="H68" s="664"/>
      <c r="I68" s="5"/>
      <c r="J68" s="5"/>
      <c r="K68" s="272"/>
      <c r="L68" s="656"/>
      <c r="M68" s="656"/>
      <c r="N68" s="656"/>
      <c r="O68" s="656"/>
      <c r="P68" s="656"/>
      <c r="Q68" s="656"/>
      <c r="R68" s="340"/>
    </row>
    <row r="69" ht="13.5" customHeight="1" spans="1:18" x14ac:dyDescent="0.25">
      <c r="A69" s="346"/>
      <c r="B69" s="685">
        <v>2006</v>
      </c>
      <c r="C69" s="686"/>
      <c r="D69" s="686"/>
      <c r="E69" s="686"/>
      <c r="F69" s="347"/>
      <c r="G69" s="347"/>
      <c r="H69" s="347"/>
      <c r="I69" s="347"/>
      <c r="J69" s="347"/>
      <c r="K69" s="687"/>
      <c r="L69" s="347"/>
      <c r="M69" s="347"/>
      <c r="N69" s="347"/>
      <c r="O69" s="347"/>
      <c r="P69" s="347"/>
      <c r="Q69" s="347"/>
      <c r="R69" s="348"/>
    </row>
  </sheetData>
  <mergeCells count="44">
    <mergeCell ref="D3:H3"/>
    <mergeCell ref="I3:K3"/>
    <mergeCell ref="L3:O3"/>
    <mergeCell ref="I5:K6"/>
    <mergeCell ref="D6:G6"/>
    <mergeCell ref="L6:O6"/>
    <mergeCell ref="G8:O8"/>
    <mergeCell ref="E10:H10"/>
    <mergeCell ref="M10:N10"/>
    <mergeCell ref="E12:G12"/>
    <mergeCell ref="H12:J12"/>
    <mergeCell ref="L12:O12"/>
    <mergeCell ref="B16:H16"/>
    <mergeCell ref="J16:P16"/>
    <mergeCell ref="B19:H19"/>
    <mergeCell ref="J19:P19"/>
    <mergeCell ref="B22:E22"/>
    <mergeCell ref="G22:H22"/>
    <mergeCell ref="J22:P22"/>
    <mergeCell ref="L35:P35"/>
    <mergeCell ref="B46:P46"/>
    <mergeCell ref="B47:P47"/>
    <mergeCell ref="B48:P48"/>
    <mergeCell ref="E50:Q50"/>
    <mergeCell ref="E51:Q51"/>
    <mergeCell ref="G53:Q53"/>
    <mergeCell ref="F55:N55"/>
    <mergeCell ref="C57:H57"/>
    <mergeCell ref="I57:J57"/>
    <mergeCell ref="K57:N57"/>
    <mergeCell ref="P57:Q57"/>
    <mergeCell ref="C59:H59"/>
    <mergeCell ref="I59:J59"/>
    <mergeCell ref="K59:Q59"/>
    <mergeCell ref="A61:R61"/>
    <mergeCell ref="L64:Q64"/>
    <mergeCell ref="D65:G65"/>
    <mergeCell ref="I65:J65"/>
    <mergeCell ref="L65:Q65"/>
    <mergeCell ref="L66:Q66"/>
    <mergeCell ref="C67:G67"/>
    <mergeCell ref="L67:Q67"/>
    <mergeCell ref="C68:E69"/>
    <mergeCell ref="L68:Q68"/>
  </mergeCells>
  <printOptions horizontalCentered="1" verticalCentered="1"/>
  <pageMargins left="0" right="0" top="0" bottom="0" header="0" footer="0"/>
  <pageSetup orientation="portrait" horizontalDpi="4294967295" verticalDpi="0" scale="8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PPAP Requirements</vt:lpstr>
      <vt:lpstr>Flow</vt:lpstr>
      <vt:lpstr>FMEA</vt:lpstr>
      <vt:lpstr>Control Plan</vt:lpstr>
      <vt:lpstr>GR&amp;R Att (Analytic)</vt:lpstr>
      <vt:lpstr>Graph</vt:lpstr>
      <vt:lpstr>Gr&amp;R Att (Risk)</vt:lpstr>
      <vt:lpstr>GR&amp;R Variable Inst</vt:lpstr>
      <vt:lpstr>Sample GR&amp;R Var.</vt:lpstr>
      <vt:lpstr>GR&amp;R Var.</vt:lpstr>
      <vt:lpstr>Capability</vt:lpstr>
      <vt:lpstr>THE-1001 PSW</vt:lpstr>
      <vt:lpstr>Dimensional CFG1003</vt:lpstr>
      <vt:lpstr>Material CFG1004</vt:lpstr>
      <vt:lpstr>Performance Test CFG1005</vt:lpstr>
      <vt:lpstr>Capacity Analysis and R@R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Jarold March</dc:creator>
  <cp:lastModifiedBy>John Batten</cp:lastModifiedBy>
  <cp:lastPrinted>2006-08-16T16:16:12Z</cp:lastPrinted>
  <dcterms:created xsi:type="dcterms:W3CDTF">1999-08-04T22:09:04Z</dcterms:created>
  <dcterms:modified xsi:type="dcterms:W3CDTF">2026-09-07T11:49:55Z</dcterms:modified>
</cp:coreProperties>
</file>